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<sst xmlns="http://schemas.openxmlformats.org/spreadsheetml/2006/main" count="164" uniqueCount="59">
  <si>
    <t>※100% 온라인 비대면 교육이며, 상세 시간표 운영 사항은 변동될 수 있습니다.
※하루에 최대 8시간 학습 분량이며, 미달성시 지각 조퇴 또는 결석처리될 수 있습니다.
※공휴일 및 선거일은 휴무입니다.</t>
  </si>
  <si>
    <t>시작일</t>
  </si>
  <si>
    <t>Week 1 [프로젝트 1] (20/200) 카드사 AI 서비스 개발 프로젝트</t>
  </si>
  <si>
    <t>월</t>
  </si>
  <si>
    <t>화</t>
  </si>
  <si>
    <t>수</t>
  </si>
  <si>
    <t>목</t>
  </si>
  <si>
    <t>금</t>
  </si>
  <si>
    <t>토</t>
  </si>
  <si>
    <t>시작시간</t>
  </si>
  <si>
    <t>종료시간</t>
  </si>
  <si>
    <t>~</t>
  </si>
  <si>
    <t>프로젝트</t>
  </si>
  <si>
    <t>점심시간</t>
  </si>
  <si>
    <t>OT + AI 서비스 개요 &amp; 환경 세팅</t>
  </si>
  <si>
    <t>Python 기초 문법 (1)</t>
  </si>
  <si>
    <t>Python 기초 문법 (2)</t>
  </si>
  <si>
    <t xml:space="preserve">Python 기초 문법 (3) </t>
  </si>
  <si>
    <t>TIL</t>
  </si>
  <si>
    <t>Week 2 [프로젝트 1] (40/200) 카드사 AI 서비스 개발 프로젝트</t>
  </si>
  <si>
    <t xml:space="preserve">Python 기초 문법 (4) </t>
  </si>
  <si>
    <t xml:space="preserve">데이터 분석을 위한 라이브러리 </t>
  </si>
  <si>
    <t>Streamlit 기본 문법</t>
  </si>
  <si>
    <t>데이터베이스 기초</t>
  </si>
  <si>
    <t>Week 3 [프로젝트 1] (60/200) 카드사 AI 서비스 개발 프로젝트</t>
  </si>
  <si>
    <t>AI 개요</t>
  </si>
  <si>
    <t>LLM 기초 (1)</t>
  </si>
  <si>
    <t>LLM 기초 (2)</t>
  </si>
  <si>
    <t>HuggingFace</t>
  </si>
  <si>
    <t>Week 4 [프로젝트 2] (80/200) 증권사 AI 서비스 개발 프로젝트</t>
  </si>
  <si>
    <t xml:space="preserve"> ChatGPT API 소개 </t>
  </si>
  <si>
    <t>프롬프트 엔지니어링</t>
  </si>
  <si>
    <t>ChatGPT API와 프롬프트 엔지니어링을 활용한 서비스 제작</t>
  </si>
  <si>
    <t>Week 5 [프로젝트 2] (100/200) 증권사 AI 서비스 개발 프로젝트</t>
  </si>
  <si>
    <t>연휴</t>
  </si>
  <si>
    <t>컴퓨터 비전 개요</t>
  </si>
  <si>
    <t>OCR 기초</t>
  </si>
  <si>
    <t>Week 6 [프로젝트 2] (100/200) 증권사 AI 서비스 개발 프로젝트</t>
  </si>
  <si>
    <t>OCR을 활용한 데이터 전처리</t>
  </si>
  <si>
    <t>OCR + LLM을 활용한 서비스 제작</t>
  </si>
  <si>
    <t>Week 7 [프로젝트 3] (120/200) 보험사 AI 서비스 개발 프로젝트</t>
  </si>
  <si>
    <t xml:space="preserve">LLM 복습 및 RAG 개요 </t>
  </si>
  <si>
    <t>RAG 구성 요소 (1)</t>
  </si>
  <si>
    <t xml:space="preserve">RAG 구성 요소 (2) </t>
  </si>
  <si>
    <t>LangChain 없이 RAG 구현 실습</t>
  </si>
  <si>
    <t>Week 8 [프로젝트 3] (140/200) 보험사 AI 서비스 개발 프로젝트</t>
  </si>
  <si>
    <t>LangChain 실습 (RAG 구현 1)</t>
  </si>
  <si>
    <t>LangChain 실습 (RAG 구현 2)</t>
  </si>
  <si>
    <t>RAG 최적화 기법 학습</t>
  </si>
  <si>
    <t>RAG 최적화 실습</t>
  </si>
  <si>
    <t>Week 9 [프로젝트 3] (160/200) 보험사 AI 서비스 개발 프로젝트</t>
  </si>
  <si>
    <t>LLM 서비스 배포
(클라우드, streamlit 모두 제공)</t>
  </si>
  <si>
    <t>AI Agent 개요</t>
  </si>
  <si>
    <t>AI Agent 실습 (1): 
단일 툴 기반 Agent</t>
  </si>
  <si>
    <t>AI Agent 실습 (2): 
복합 툴 및 고급 Agent 설계</t>
  </si>
  <si>
    <t>Week 10 [프로젝트 4] (180/200) 금융권 AICC 개발 프로젝트</t>
  </si>
  <si>
    <t>MCP</t>
  </si>
  <si>
    <t>최종 프로젝트 (AI 서비스 개발)</t>
  </si>
  <si>
    <t>Week 11 [프로젝트 4] (200/200) 금융권 AICC 개발 프로젝트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</si>
</sst>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h&quot;:&quot;mm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9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0" fontId="2" numFmtId="164" xfId="0" applyAlignment="1" applyBorder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0" fillId="3" fontId="2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vertical="bottom"/>
    </xf>
    <xf borderId="0" fillId="4" fontId="2" numFmtId="164" xfId="0" applyAlignment="1" applyFont="1" applyNumberFormat="1">
      <alignment horizontal="center" shrinkToFit="0" vertical="bottom" wrapText="1"/>
    </xf>
    <xf borderId="0" fillId="4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5" fontId="1" numFmtId="0" xfId="0" applyAlignment="1" applyFill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6" fontId="1" numFmtId="0" xfId="0" applyAlignment="1" applyFill="1" applyFont="1">
      <alignment horizontal="center" shrinkToFit="0" vertical="bottom" wrapText="1"/>
    </xf>
    <xf borderId="3" fillId="7" fontId="1" numFmtId="0" xfId="0" applyAlignment="1" applyBorder="1" applyFill="1" applyFont="1">
      <alignment horizontal="center" shrinkToFit="0" wrapText="1"/>
    </xf>
    <xf borderId="4" fillId="0" fontId="3" numFmtId="0" xfId="0" applyBorder="1" applyFont="1"/>
    <xf borderId="5" fillId="0" fontId="1" numFmtId="0" xfId="0" applyAlignment="1" applyBorder="1" applyFont="1">
      <alignment horizontal="center" vertical="bottom"/>
    </xf>
    <xf borderId="0" fillId="4" fontId="1" numFmtId="165" xfId="0" applyAlignment="1" applyFont="1" applyNumberFormat="1">
      <alignment vertical="bottom"/>
    </xf>
    <xf borderId="3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3" numFmtId="0" xfId="0" applyBorder="1" applyFont="1"/>
    <xf borderId="0" fillId="8" fontId="2" numFmtId="0" xfId="0" applyAlignment="1" applyFill="1" applyFont="1">
      <alignment horizontal="center" shrinkToFit="0" vertical="bottom" wrapText="1"/>
    </xf>
    <xf borderId="3" fillId="7" fontId="1" numFmtId="0" xfId="0" applyAlignment="1" applyBorder="1" applyFont="1">
      <alignment horizontal="center" readingOrder="0" shrinkToFit="0" wrapText="1"/>
    </xf>
    <xf borderId="0" fillId="9" fontId="1" numFmtId="0" xfId="0" applyAlignment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0" fillId="10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wrapText="1"/>
    </xf>
    <xf borderId="0" fillId="11" fontId="2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1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3.63"/>
    <col customWidth="1" min="5" max="5" width="23.38"/>
    <col customWidth="1" min="6" max="7" width="22.0"/>
    <col customWidth="1" min="8" max="8" width="18.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 t="s">
        <v>1</v>
      </c>
      <c r="D2" s="4">
        <v>45985.0</v>
      </c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/>
      <c r="B5" s="7"/>
      <c r="C5" s="7"/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</v>
      </c>
      <c r="B6" s="7"/>
      <c r="C6" s="9" t="s">
        <v>10</v>
      </c>
      <c r="D6" s="8">
        <f>D2</f>
        <v>45985</v>
      </c>
      <c r="E6" s="8">
        <f t="shared" ref="E6:I6" si="1">D6+1</f>
        <v>45986</v>
      </c>
      <c r="F6" s="8">
        <f t="shared" si="1"/>
        <v>45987</v>
      </c>
      <c r="G6" s="8">
        <f t="shared" si="1"/>
        <v>45988</v>
      </c>
      <c r="H6" s="8">
        <f t="shared" si="1"/>
        <v>45989</v>
      </c>
      <c r="I6" s="8">
        <f t="shared" si="1"/>
        <v>45990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0.375</v>
      </c>
      <c r="B7" s="11" t="s">
        <v>11</v>
      </c>
      <c r="C7" s="10">
        <v>0.4166666666666667</v>
      </c>
      <c r="D7" s="12"/>
      <c r="E7" s="12"/>
      <c r="F7" s="12"/>
      <c r="G7" s="12"/>
      <c r="H7" s="12"/>
      <c r="I7" s="13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0.4166666666666667</v>
      </c>
      <c r="B8" s="11" t="s">
        <v>11</v>
      </c>
      <c r="C8" s="10">
        <v>0.4583333333333333</v>
      </c>
      <c r="D8" s="12"/>
      <c r="E8" s="12"/>
      <c r="F8" s="12"/>
      <c r="G8" s="12"/>
      <c r="H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0.4583333333333333</v>
      </c>
      <c r="B9" s="11" t="s">
        <v>11</v>
      </c>
      <c r="C9" s="10">
        <v>0.5</v>
      </c>
      <c r="D9" s="12"/>
      <c r="E9" s="12"/>
      <c r="F9" s="12"/>
      <c r="G9" s="12"/>
      <c r="H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0.5</v>
      </c>
      <c r="B10" s="11" t="s">
        <v>11</v>
      </c>
      <c r="C10" s="10">
        <v>0.5416666666666666</v>
      </c>
      <c r="D10" s="12"/>
      <c r="E10" s="12"/>
      <c r="F10" s="12"/>
      <c r="G10" s="12"/>
      <c r="H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0.5416666666666666</v>
      </c>
      <c r="B11" s="11" t="s">
        <v>11</v>
      </c>
      <c r="C11" s="10">
        <v>0.5833333333333334</v>
      </c>
      <c r="D11" s="12"/>
      <c r="E11" s="12"/>
      <c r="F11" s="12"/>
      <c r="G11" s="12"/>
      <c r="H11" s="12"/>
      <c r="I11" s="14" t="s">
        <v>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0.5833333333333334</v>
      </c>
      <c r="B12" s="11" t="s">
        <v>11</v>
      </c>
      <c r="C12" s="10">
        <v>0.625</v>
      </c>
      <c r="D12" s="12"/>
      <c r="E12" s="12"/>
      <c r="F12" s="12"/>
      <c r="G12" s="12"/>
      <c r="H12" s="12"/>
      <c r="I12" s="13" t="s">
        <v>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0.625</v>
      </c>
      <c r="B13" s="11" t="s">
        <v>11</v>
      </c>
      <c r="C13" s="10">
        <v>0.6666666666666666</v>
      </c>
      <c r="D13" s="12"/>
      <c r="E13" s="12"/>
      <c r="F13" s="12"/>
      <c r="G13" s="12"/>
      <c r="H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>
        <v>0.6666666666666666</v>
      </c>
      <c r="B14" s="11" t="s">
        <v>11</v>
      </c>
      <c r="C14" s="10">
        <v>0.7083333333333334</v>
      </c>
      <c r="D14" s="12"/>
      <c r="E14" s="12"/>
      <c r="F14" s="12"/>
      <c r="G14" s="12"/>
      <c r="H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0.7083333333333334</v>
      </c>
      <c r="B15" s="11" t="s">
        <v>11</v>
      </c>
      <c r="C15" s="10">
        <v>0.75</v>
      </c>
      <c r="D15" s="12"/>
      <c r="E15" s="12"/>
      <c r="F15" s="12"/>
      <c r="G15" s="12"/>
      <c r="H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>
        <v>0.75</v>
      </c>
      <c r="B16" s="11" t="s">
        <v>11</v>
      </c>
      <c r="C16" s="10">
        <v>0.7916666666666666</v>
      </c>
      <c r="D16" s="12"/>
      <c r="E16" s="12"/>
      <c r="F16" s="12"/>
      <c r="G16" s="12"/>
      <c r="H16" s="12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>
        <v>0.7916666666666666</v>
      </c>
      <c r="B17" s="11" t="s">
        <v>11</v>
      </c>
      <c r="C17" s="10">
        <v>0.8333333333333334</v>
      </c>
      <c r="D17" s="12"/>
      <c r="E17" s="12"/>
      <c r="F17" s="12"/>
      <c r="G17" s="12"/>
      <c r="H17" s="12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>
        <v>0.8333333333333334</v>
      </c>
      <c r="B18" s="10" t="s">
        <v>11</v>
      </c>
      <c r="C18" s="10">
        <v>0.875</v>
      </c>
      <c r="D18" s="15" t="s">
        <v>14</v>
      </c>
      <c r="E18" s="15" t="s">
        <v>15</v>
      </c>
      <c r="F18" s="15" t="s">
        <v>16</v>
      </c>
      <c r="G18" s="15" t="s">
        <v>17</v>
      </c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>
        <v>0.875</v>
      </c>
      <c r="B19" s="10" t="s">
        <v>11</v>
      </c>
      <c r="C19" s="10">
        <v>0.9166666666666666</v>
      </c>
      <c r="D19" s="16"/>
      <c r="E19" s="16"/>
      <c r="F19" s="16"/>
      <c r="G19" s="16"/>
      <c r="H19" s="12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">
        <v>0.9166666666666666</v>
      </c>
      <c r="B20" s="11" t="s">
        <v>11</v>
      </c>
      <c r="C20" s="10">
        <v>0.9583333333333334</v>
      </c>
      <c r="D20" s="17" t="s">
        <v>18</v>
      </c>
      <c r="E20" s="17" t="s">
        <v>18</v>
      </c>
      <c r="F20" s="17" t="s">
        <v>18</v>
      </c>
      <c r="G20" s="17" t="s">
        <v>18</v>
      </c>
      <c r="H20" s="12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/>
      <c r="B22" s="7"/>
      <c r="C22" s="7"/>
      <c r="D22" s="8" t="str">
        <f t="shared" ref="D22:I22" si="2">D5</f>
        <v>월</v>
      </c>
      <c r="E22" s="8" t="str">
        <f t="shared" si="2"/>
        <v>화</v>
      </c>
      <c r="F22" s="8" t="str">
        <f t="shared" si="2"/>
        <v>수</v>
      </c>
      <c r="G22" s="8" t="str">
        <f t="shared" si="2"/>
        <v>목</v>
      </c>
      <c r="H22" s="8" t="str">
        <f t="shared" si="2"/>
        <v>금</v>
      </c>
      <c r="I22" s="8" t="str">
        <f t="shared" si="2"/>
        <v>토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9</v>
      </c>
      <c r="B23" s="18"/>
      <c r="C23" s="9" t="s">
        <v>10</v>
      </c>
      <c r="D23" s="8">
        <f>D6+7</f>
        <v>45992</v>
      </c>
      <c r="E23" s="8">
        <f t="shared" ref="E23:I23" si="3">D23+1</f>
        <v>45993</v>
      </c>
      <c r="F23" s="8">
        <f t="shared" si="3"/>
        <v>45994</v>
      </c>
      <c r="G23" s="8">
        <f t="shared" si="3"/>
        <v>45995</v>
      </c>
      <c r="H23" s="8">
        <f t="shared" si="3"/>
        <v>45996</v>
      </c>
      <c r="I23" s="8">
        <f t="shared" si="3"/>
        <v>45997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0">
        <f t="shared" ref="A24:C24" si="4">A7</f>
        <v>0.375</v>
      </c>
      <c r="B24" s="10" t="str">
        <f t="shared" si="4"/>
        <v>~</v>
      </c>
      <c r="C24" s="10">
        <f t="shared" si="4"/>
        <v>0.4166666667</v>
      </c>
      <c r="D24" s="12"/>
      <c r="E24" s="12"/>
      <c r="F24" s="12"/>
      <c r="G24" s="12"/>
      <c r="H24" s="12"/>
      <c r="I24" s="13" t="s">
        <v>12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0">
        <f t="shared" ref="A25:C25" si="5">A8</f>
        <v>0.4166666667</v>
      </c>
      <c r="B25" s="10" t="str">
        <f t="shared" si="5"/>
        <v>~</v>
      </c>
      <c r="C25" s="10">
        <f t="shared" si="5"/>
        <v>0.4583333333</v>
      </c>
      <c r="D25" s="12"/>
      <c r="E25" s="12"/>
      <c r="F25" s="12"/>
      <c r="G25" s="12"/>
      <c r="H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0">
        <f t="shared" ref="A26:C26" si="6">A9</f>
        <v>0.4583333333</v>
      </c>
      <c r="B26" s="10" t="str">
        <f t="shared" si="6"/>
        <v>~</v>
      </c>
      <c r="C26" s="10">
        <f t="shared" si="6"/>
        <v>0.5</v>
      </c>
      <c r="D26" s="12"/>
      <c r="E26" s="12"/>
      <c r="F26" s="12"/>
      <c r="G26" s="12"/>
      <c r="H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">
        <f t="shared" ref="A27:C27" si="7">A10</f>
        <v>0.5</v>
      </c>
      <c r="B27" s="10" t="str">
        <f t="shared" si="7"/>
        <v>~</v>
      </c>
      <c r="C27" s="10">
        <f t="shared" si="7"/>
        <v>0.5416666667</v>
      </c>
      <c r="D27" s="12"/>
      <c r="E27" s="12"/>
      <c r="F27" s="12"/>
      <c r="G27" s="12"/>
      <c r="H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0">
        <f t="shared" ref="A28:C28" si="8">A11</f>
        <v>0.5416666667</v>
      </c>
      <c r="B28" s="10" t="str">
        <f t="shared" si="8"/>
        <v>~</v>
      </c>
      <c r="C28" s="10">
        <f t="shared" si="8"/>
        <v>0.5833333333</v>
      </c>
      <c r="D28" s="12"/>
      <c r="E28" s="12"/>
      <c r="F28" s="12"/>
      <c r="G28" s="12"/>
      <c r="H28" s="12"/>
      <c r="I28" s="14" t="s">
        <v>13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0">
        <f t="shared" ref="A29:C29" si="9">A12</f>
        <v>0.5833333333</v>
      </c>
      <c r="B29" s="10" t="str">
        <f t="shared" si="9"/>
        <v>~</v>
      </c>
      <c r="C29" s="10">
        <f t="shared" si="9"/>
        <v>0.625</v>
      </c>
      <c r="D29" s="12"/>
      <c r="E29" s="12"/>
      <c r="F29" s="12"/>
      <c r="G29" s="12"/>
      <c r="H29" s="12"/>
      <c r="I29" s="13" t="s">
        <v>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0">
        <f t="shared" ref="A30:C30" si="10">A13</f>
        <v>0.625</v>
      </c>
      <c r="B30" s="10" t="str">
        <f t="shared" si="10"/>
        <v>~</v>
      </c>
      <c r="C30" s="10">
        <f t="shared" si="10"/>
        <v>0.6666666667</v>
      </c>
      <c r="D30" s="12"/>
      <c r="E30" s="12"/>
      <c r="F30" s="12"/>
      <c r="G30" s="12"/>
      <c r="H30" s="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0">
        <f t="shared" ref="A31:C31" si="11">A14</f>
        <v>0.6666666667</v>
      </c>
      <c r="B31" s="10" t="str">
        <f t="shared" si="11"/>
        <v>~</v>
      </c>
      <c r="C31" s="10">
        <f t="shared" si="11"/>
        <v>0.7083333333</v>
      </c>
      <c r="D31" s="12"/>
      <c r="E31" s="12"/>
      <c r="F31" s="12"/>
      <c r="G31" s="12"/>
      <c r="H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0">
        <f t="shared" ref="A32:C32" si="12">A15</f>
        <v>0.7083333333</v>
      </c>
      <c r="B32" s="10" t="str">
        <f t="shared" si="12"/>
        <v>~</v>
      </c>
      <c r="C32" s="10">
        <f t="shared" si="12"/>
        <v>0.75</v>
      </c>
      <c r="D32" s="12"/>
      <c r="E32" s="12"/>
      <c r="F32" s="12"/>
      <c r="G32" s="12"/>
      <c r="H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0">
        <f t="shared" ref="A33:C33" si="13">A16</f>
        <v>0.75</v>
      </c>
      <c r="B33" s="10" t="str">
        <f t="shared" si="13"/>
        <v>~</v>
      </c>
      <c r="C33" s="10">
        <f t="shared" si="13"/>
        <v>0.7916666667</v>
      </c>
      <c r="D33" s="12"/>
      <c r="E33" s="12"/>
      <c r="F33" s="12"/>
      <c r="G33" s="12"/>
      <c r="H33" s="12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0">
        <f t="shared" ref="A34:C34" si="14">A17</f>
        <v>0.7916666667</v>
      </c>
      <c r="B34" s="10" t="str">
        <f t="shared" si="14"/>
        <v>~</v>
      </c>
      <c r="C34" s="10">
        <f t="shared" si="14"/>
        <v>0.8333333333</v>
      </c>
      <c r="D34" s="12"/>
      <c r="E34" s="12"/>
      <c r="F34" s="12"/>
      <c r="G34" s="12"/>
      <c r="H34" s="12"/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0">
        <f t="shared" ref="A35:C35" si="15">A18</f>
        <v>0.8333333333</v>
      </c>
      <c r="B35" s="10" t="str">
        <f t="shared" si="15"/>
        <v>~</v>
      </c>
      <c r="C35" s="10">
        <f t="shared" si="15"/>
        <v>0.875</v>
      </c>
      <c r="D35" s="15" t="s">
        <v>20</v>
      </c>
      <c r="E35" s="15" t="s">
        <v>21</v>
      </c>
      <c r="F35" s="19" t="s">
        <v>22</v>
      </c>
      <c r="G35" s="15" t="s">
        <v>23</v>
      </c>
      <c r="H35" s="12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0">
        <f t="shared" ref="A36:C36" si="16">A19</f>
        <v>0.875</v>
      </c>
      <c r="B36" s="10" t="str">
        <f t="shared" si="16"/>
        <v>~</v>
      </c>
      <c r="C36" s="10">
        <f t="shared" si="16"/>
        <v>0.9166666667</v>
      </c>
      <c r="D36" s="16"/>
      <c r="E36" s="16"/>
      <c r="F36" s="16"/>
      <c r="G36" s="16"/>
      <c r="H36" s="12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0">
        <f t="shared" ref="A37:C37" si="17">A20</f>
        <v>0.9166666667</v>
      </c>
      <c r="B37" s="10" t="str">
        <f t="shared" si="17"/>
        <v>~</v>
      </c>
      <c r="C37" s="10">
        <f t="shared" si="17"/>
        <v>0.9583333333</v>
      </c>
      <c r="D37" s="17" t="s">
        <v>18</v>
      </c>
      <c r="E37" s="17" t="s">
        <v>18</v>
      </c>
      <c r="F37" s="17" t="s">
        <v>18</v>
      </c>
      <c r="G37" s="17" t="s">
        <v>18</v>
      </c>
      <c r="H37" s="12"/>
      <c r="I37" s="1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24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8"/>
      <c r="B39" s="18"/>
      <c r="C39" s="18"/>
      <c r="D39" s="8" t="str">
        <f t="shared" ref="D39:I39" si="18">D22</f>
        <v>월</v>
      </c>
      <c r="E39" s="8" t="str">
        <f t="shared" si="18"/>
        <v>화</v>
      </c>
      <c r="F39" s="8" t="str">
        <f t="shared" si="18"/>
        <v>수</v>
      </c>
      <c r="G39" s="8" t="str">
        <f t="shared" si="18"/>
        <v>목</v>
      </c>
      <c r="H39" s="8" t="str">
        <f t="shared" si="18"/>
        <v>금</v>
      </c>
      <c r="I39" s="8" t="str">
        <f t="shared" si="18"/>
        <v>토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" t="s">
        <v>9</v>
      </c>
      <c r="B40" s="18"/>
      <c r="C40" s="9" t="s">
        <v>10</v>
      </c>
      <c r="D40" s="8">
        <f>D23+7</f>
        <v>45999</v>
      </c>
      <c r="E40" s="8">
        <f t="shared" ref="E40:I40" si="19">D40+1</f>
        <v>46000</v>
      </c>
      <c r="F40" s="8">
        <f t="shared" si="19"/>
        <v>46001</v>
      </c>
      <c r="G40" s="8">
        <f t="shared" si="19"/>
        <v>46002</v>
      </c>
      <c r="H40" s="8">
        <f t="shared" si="19"/>
        <v>46003</v>
      </c>
      <c r="I40" s="8">
        <f t="shared" si="19"/>
        <v>46004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0">
        <f t="shared" ref="A41:C41" si="20">A24</f>
        <v>0.375</v>
      </c>
      <c r="B41" s="10" t="str">
        <f t="shared" si="20"/>
        <v>~</v>
      </c>
      <c r="C41" s="10">
        <f t="shared" si="20"/>
        <v>0.4166666667</v>
      </c>
      <c r="D41" s="12"/>
      <c r="E41" s="12"/>
      <c r="F41" s="12"/>
      <c r="G41" s="12"/>
      <c r="H41" s="12"/>
      <c r="I41" s="13" t="s">
        <v>12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0">
        <f t="shared" ref="A42:C42" si="21">A25</f>
        <v>0.4166666667</v>
      </c>
      <c r="B42" s="10" t="str">
        <f t="shared" si="21"/>
        <v>~</v>
      </c>
      <c r="C42" s="10">
        <f t="shared" si="21"/>
        <v>0.4583333333</v>
      </c>
      <c r="D42" s="12"/>
      <c r="E42" s="12"/>
      <c r="F42" s="12"/>
      <c r="G42" s="12"/>
      <c r="H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0">
        <f t="shared" ref="A43:C43" si="22">A26</f>
        <v>0.4583333333</v>
      </c>
      <c r="B43" s="10" t="str">
        <f t="shared" si="22"/>
        <v>~</v>
      </c>
      <c r="C43" s="10">
        <f t="shared" si="22"/>
        <v>0.5</v>
      </c>
      <c r="D43" s="12"/>
      <c r="E43" s="12"/>
      <c r="F43" s="12"/>
      <c r="G43" s="12"/>
      <c r="H43" s="1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0">
        <f t="shared" ref="A44:C44" si="23">A27</f>
        <v>0.5</v>
      </c>
      <c r="B44" s="10" t="str">
        <f t="shared" si="23"/>
        <v>~</v>
      </c>
      <c r="C44" s="10">
        <f t="shared" si="23"/>
        <v>0.5416666667</v>
      </c>
      <c r="D44" s="12"/>
      <c r="E44" s="12"/>
      <c r="F44" s="12"/>
      <c r="G44" s="12"/>
      <c r="H44" s="1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0">
        <f t="shared" ref="A45:C45" si="24">A28</f>
        <v>0.5416666667</v>
      </c>
      <c r="B45" s="10" t="str">
        <f t="shared" si="24"/>
        <v>~</v>
      </c>
      <c r="C45" s="10">
        <f t="shared" si="24"/>
        <v>0.5833333333</v>
      </c>
      <c r="D45" s="12"/>
      <c r="E45" s="12"/>
      <c r="F45" s="12"/>
      <c r="G45" s="12"/>
      <c r="H45" s="12"/>
      <c r="I45" s="14" t="s">
        <v>13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0">
        <f t="shared" ref="A46:C46" si="25">A29</f>
        <v>0.5833333333</v>
      </c>
      <c r="B46" s="10" t="str">
        <f t="shared" si="25"/>
        <v>~</v>
      </c>
      <c r="C46" s="10">
        <f t="shared" si="25"/>
        <v>0.625</v>
      </c>
      <c r="D46" s="12"/>
      <c r="E46" s="12"/>
      <c r="F46" s="12"/>
      <c r="G46" s="12"/>
      <c r="H46" s="12"/>
      <c r="I46" s="13" t="s">
        <v>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0">
        <f t="shared" ref="A47:C47" si="26">A30</f>
        <v>0.625</v>
      </c>
      <c r="B47" s="10" t="str">
        <f t="shared" si="26"/>
        <v>~</v>
      </c>
      <c r="C47" s="10">
        <f t="shared" si="26"/>
        <v>0.6666666667</v>
      </c>
      <c r="D47" s="12"/>
      <c r="E47" s="12"/>
      <c r="F47" s="12"/>
      <c r="G47" s="12"/>
      <c r="H47" s="1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0">
        <f t="shared" ref="A48:C48" si="27">A31</f>
        <v>0.6666666667</v>
      </c>
      <c r="B48" s="10" t="str">
        <f t="shared" si="27"/>
        <v>~</v>
      </c>
      <c r="C48" s="10">
        <f t="shared" si="27"/>
        <v>0.7083333333</v>
      </c>
      <c r="D48" s="12"/>
      <c r="E48" s="12"/>
      <c r="F48" s="12"/>
      <c r="G48" s="12"/>
      <c r="H48" s="1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0">
        <f t="shared" ref="A49:C49" si="28">A32</f>
        <v>0.7083333333</v>
      </c>
      <c r="B49" s="10" t="str">
        <f t="shared" si="28"/>
        <v>~</v>
      </c>
      <c r="C49" s="10">
        <f t="shared" si="28"/>
        <v>0.75</v>
      </c>
      <c r="D49" s="12"/>
      <c r="E49" s="12"/>
      <c r="F49" s="12"/>
      <c r="G49" s="12"/>
      <c r="H49" s="1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0">
        <f t="shared" ref="A50:C50" si="29">A33</f>
        <v>0.75</v>
      </c>
      <c r="B50" s="10" t="str">
        <f t="shared" si="29"/>
        <v>~</v>
      </c>
      <c r="C50" s="10">
        <f t="shared" si="29"/>
        <v>0.7916666667</v>
      </c>
      <c r="D50" s="12"/>
      <c r="E50" s="12"/>
      <c r="F50" s="12"/>
      <c r="G50" s="12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0">
        <f t="shared" ref="A51:C51" si="30">A34</f>
        <v>0.7916666667</v>
      </c>
      <c r="B51" s="10" t="str">
        <f t="shared" si="30"/>
        <v>~</v>
      </c>
      <c r="C51" s="10">
        <f t="shared" si="30"/>
        <v>0.8333333333</v>
      </c>
      <c r="D51" s="12"/>
      <c r="E51" s="12"/>
      <c r="F51" s="12"/>
      <c r="G51" s="12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0">
        <f t="shared" ref="A52:C52" si="31">A35</f>
        <v>0.8333333333</v>
      </c>
      <c r="B52" s="10" t="str">
        <f t="shared" si="31"/>
        <v>~</v>
      </c>
      <c r="C52" s="10">
        <f t="shared" si="31"/>
        <v>0.875</v>
      </c>
      <c r="D52" s="20" t="s">
        <v>25</v>
      </c>
      <c r="E52" s="21" t="s">
        <v>26</v>
      </c>
      <c r="F52" s="21" t="s">
        <v>27</v>
      </c>
      <c r="G52" s="15" t="s">
        <v>28</v>
      </c>
      <c r="H52" s="12"/>
      <c r="I52" s="1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0">
        <f t="shared" ref="A53:C53" si="32">A36</f>
        <v>0.875</v>
      </c>
      <c r="B53" s="10" t="str">
        <f t="shared" si="32"/>
        <v>~</v>
      </c>
      <c r="C53" s="10">
        <f t="shared" si="32"/>
        <v>0.9166666667</v>
      </c>
      <c r="D53" s="16"/>
      <c r="E53" s="22"/>
      <c r="F53" s="22"/>
      <c r="G53" s="16"/>
      <c r="H53" s="12"/>
      <c r="I53" s="1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0">
        <f t="shared" ref="A54:C54" si="33">A37</f>
        <v>0.9166666667</v>
      </c>
      <c r="B54" s="10" t="str">
        <f t="shared" si="33"/>
        <v>~</v>
      </c>
      <c r="C54" s="10">
        <f t="shared" si="33"/>
        <v>0.9583333333</v>
      </c>
      <c r="D54" s="17" t="s">
        <v>18</v>
      </c>
      <c r="E54" s="17" t="s">
        <v>18</v>
      </c>
      <c r="F54" s="17" t="s">
        <v>18</v>
      </c>
      <c r="G54" s="17" t="s">
        <v>18</v>
      </c>
      <c r="H54" s="12"/>
      <c r="I54" s="1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 t="s">
        <v>29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8"/>
      <c r="B56" s="18"/>
      <c r="C56" s="18"/>
      <c r="D56" s="8" t="str">
        <f t="shared" ref="D56:I56" si="34">D39</f>
        <v>월</v>
      </c>
      <c r="E56" s="8" t="str">
        <f t="shared" si="34"/>
        <v>화</v>
      </c>
      <c r="F56" s="8" t="str">
        <f t="shared" si="34"/>
        <v>수</v>
      </c>
      <c r="G56" s="8" t="str">
        <f t="shared" si="34"/>
        <v>목</v>
      </c>
      <c r="H56" s="8" t="str">
        <f t="shared" si="34"/>
        <v>금</v>
      </c>
      <c r="I56" s="8" t="str">
        <f t="shared" si="34"/>
        <v>토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" t="s">
        <v>9</v>
      </c>
      <c r="B57" s="18"/>
      <c r="C57" s="9" t="s">
        <v>10</v>
      </c>
      <c r="D57" s="8">
        <f>D40+7</f>
        <v>46006</v>
      </c>
      <c r="E57" s="8">
        <f t="shared" ref="E57:I57" si="35">D57+1</f>
        <v>46007</v>
      </c>
      <c r="F57" s="8">
        <f t="shared" si="35"/>
        <v>46008</v>
      </c>
      <c r="G57" s="8">
        <f t="shared" si="35"/>
        <v>46009</v>
      </c>
      <c r="H57" s="8">
        <f t="shared" si="35"/>
        <v>46010</v>
      </c>
      <c r="I57" s="8">
        <f t="shared" si="35"/>
        <v>46011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0">
        <f t="shared" ref="A58:C58" si="36">A41</f>
        <v>0.375</v>
      </c>
      <c r="B58" s="10" t="str">
        <f t="shared" si="36"/>
        <v>~</v>
      </c>
      <c r="C58" s="10">
        <f t="shared" si="36"/>
        <v>0.4166666667</v>
      </c>
      <c r="D58" s="12"/>
      <c r="E58" s="12"/>
      <c r="F58" s="12"/>
      <c r="G58" s="12"/>
      <c r="H58" s="12"/>
      <c r="I58" s="13" t="s">
        <v>12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0">
        <f t="shared" ref="A59:C59" si="37">A42</f>
        <v>0.4166666667</v>
      </c>
      <c r="B59" s="10" t="str">
        <f t="shared" si="37"/>
        <v>~</v>
      </c>
      <c r="C59" s="10">
        <f t="shared" si="37"/>
        <v>0.4583333333</v>
      </c>
      <c r="D59" s="12"/>
      <c r="E59" s="12"/>
      <c r="F59" s="12"/>
      <c r="G59" s="12"/>
      <c r="H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0">
        <f t="shared" ref="A60:C60" si="38">A43</f>
        <v>0.4583333333</v>
      </c>
      <c r="B60" s="10" t="str">
        <f t="shared" si="38"/>
        <v>~</v>
      </c>
      <c r="C60" s="10">
        <f t="shared" si="38"/>
        <v>0.5</v>
      </c>
      <c r="D60" s="12"/>
      <c r="E60" s="12"/>
      <c r="F60" s="12"/>
      <c r="G60" s="12"/>
      <c r="H60" s="1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0">
        <f t="shared" ref="A61:C61" si="39">A44</f>
        <v>0.5</v>
      </c>
      <c r="B61" s="10" t="str">
        <f t="shared" si="39"/>
        <v>~</v>
      </c>
      <c r="C61" s="10">
        <f t="shared" si="39"/>
        <v>0.5416666667</v>
      </c>
      <c r="D61" s="12"/>
      <c r="E61" s="12"/>
      <c r="F61" s="12"/>
      <c r="G61" s="12"/>
      <c r="H61" s="1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0">
        <f t="shared" ref="A62:C62" si="40">A45</f>
        <v>0.5416666667</v>
      </c>
      <c r="B62" s="10" t="str">
        <f t="shared" si="40"/>
        <v>~</v>
      </c>
      <c r="C62" s="10">
        <f t="shared" si="40"/>
        <v>0.5833333333</v>
      </c>
      <c r="D62" s="12"/>
      <c r="E62" s="12"/>
      <c r="F62" s="12"/>
      <c r="G62" s="12"/>
      <c r="H62" s="12"/>
      <c r="I62" s="14" t="s">
        <v>13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0">
        <f t="shared" ref="A63:C63" si="41">A46</f>
        <v>0.5833333333</v>
      </c>
      <c r="B63" s="10" t="str">
        <f t="shared" si="41"/>
        <v>~</v>
      </c>
      <c r="C63" s="10">
        <f t="shared" si="41"/>
        <v>0.625</v>
      </c>
      <c r="D63" s="12"/>
      <c r="E63" s="12"/>
      <c r="F63" s="12"/>
      <c r="G63" s="12"/>
      <c r="H63" s="12"/>
      <c r="I63" s="13" t="s">
        <v>12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0">
        <f t="shared" ref="A64:C64" si="42">A47</f>
        <v>0.625</v>
      </c>
      <c r="B64" s="10" t="str">
        <f t="shared" si="42"/>
        <v>~</v>
      </c>
      <c r="C64" s="10">
        <f t="shared" si="42"/>
        <v>0.6666666667</v>
      </c>
      <c r="D64" s="12"/>
      <c r="E64" s="12"/>
      <c r="F64" s="12"/>
      <c r="G64" s="12"/>
      <c r="H64" s="1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0">
        <f t="shared" ref="A65:C65" si="43">A48</f>
        <v>0.6666666667</v>
      </c>
      <c r="B65" s="10" t="str">
        <f t="shared" si="43"/>
        <v>~</v>
      </c>
      <c r="C65" s="10">
        <f t="shared" si="43"/>
        <v>0.7083333333</v>
      </c>
      <c r="D65" s="12"/>
      <c r="E65" s="12"/>
      <c r="F65" s="12"/>
      <c r="G65" s="12"/>
      <c r="H65" s="1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0">
        <f t="shared" ref="A66:C66" si="44">A49</f>
        <v>0.7083333333</v>
      </c>
      <c r="B66" s="10" t="str">
        <f t="shared" si="44"/>
        <v>~</v>
      </c>
      <c r="C66" s="10">
        <f t="shared" si="44"/>
        <v>0.75</v>
      </c>
      <c r="D66" s="12"/>
      <c r="E66" s="12"/>
      <c r="F66" s="12"/>
      <c r="G66" s="12"/>
      <c r="H66" s="1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0">
        <f t="shared" ref="A67:C67" si="45">A50</f>
        <v>0.75</v>
      </c>
      <c r="B67" s="10" t="str">
        <f t="shared" si="45"/>
        <v>~</v>
      </c>
      <c r="C67" s="10">
        <f t="shared" si="45"/>
        <v>0.7916666667</v>
      </c>
      <c r="D67" s="12"/>
      <c r="E67" s="12"/>
      <c r="F67" s="12"/>
      <c r="G67" s="12"/>
      <c r="H67" s="12"/>
      <c r="I67" s="1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">
        <f t="shared" ref="A68:C68" si="46">A51</f>
        <v>0.7916666667</v>
      </c>
      <c r="B68" s="10" t="str">
        <f t="shared" si="46"/>
        <v>~</v>
      </c>
      <c r="C68" s="10">
        <f t="shared" si="46"/>
        <v>0.8333333333</v>
      </c>
      <c r="D68" s="12"/>
      <c r="E68" s="12"/>
      <c r="F68" s="12"/>
      <c r="G68" s="12"/>
      <c r="H68" s="12"/>
      <c r="I68" s="1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0">
        <f t="shared" ref="A69:C69" si="47">A52</f>
        <v>0.8333333333</v>
      </c>
      <c r="B69" s="10" t="str">
        <f t="shared" si="47"/>
        <v>~</v>
      </c>
      <c r="C69" s="10">
        <f t="shared" si="47"/>
        <v>0.875</v>
      </c>
      <c r="D69" s="15" t="s">
        <v>30</v>
      </c>
      <c r="E69" s="15" t="s">
        <v>31</v>
      </c>
      <c r="F69" s="15" t="s">
        <v>32</v>
      </c>
      <c r="G69" s="24">
        <v>365.0</v>
      </c>
      <c r="H69" s="12"/>
      <c r="I69" s="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0">
        <f t="shared" ref="A70:C70" si="48">A53</f>
        <v>0.875</v>
      </c>
      <c r="B70" s="10" t="str">
        <f t="shared" si="48"/>
        <v>~</v>
      </c>
      <c r="C70" s="10">
        <f t="shared" si="48"/>
        <v>0.9166666667</v>
      </c>
      <c r="D70" s="16"/>
      <c r="E70" s="16"/>
      <c r="F70" s="16"/>
      <c r="G70" s="16"/>
      <c r="H70" s="12"/>
      <c r="I70" s="1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0">
        <f t="shared" ref="A71:C71" si="49">A54</f>
        <v>0.9166666667</v>
      </c>
      <c r="B71" s="10" t="str">
        <f t="shared" si="49"/>
        <v>~</v>
      </c>
      <c r="C71" s="10">
        <f t="shared" si="49"/>
        <v>0.9583333333</v>
      </c>
      <c r="D71" s="17" t="s">
        <v>18</v>
      </c>
      <c r="E71" s="17" t="s">
        <v>18</v>
      </c>
      <c r="F71" s="17" t="s">
        <v>18</v>
      </c>
      <c r="G71" s="17" t="s">
        <v>18</v>
      </c>
      <c r="H71" s="12"/>
      <c r="I71" s="1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 t="s">
        <v>33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8"/>
      <c r="B73" s="18"/>
      <c r="C73" s="18"/>
      <c r="D73" s="8" t="str">
        <f t="shared" ref="D73:I73" si="50">D56</f>
        <v>월</v>
      </c>
      <c r="E73" s="8" t="str">
        <f t="shared" si="50"/>
        <v>화</v>
      </c>
      <c r="F73" s="8" t="str">
        <f t="shared" si="50"/>
        <v>수</v>
      </c>
      <c r="G73" s="8" t="str">
        <f t="shared" si="50"/>
        <v>목</v>
      </c>
      <c r="H73" s="8" t="str">
        <f t="shared" si="50"/>
        <v>금</v>
      </c>
      <c r="I73" s="8" t="str">
        <f t="shared" si="50"/>
        <v>토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" t="s">
        <v>9</v>
      </c>
      <c r="B74" s="18"/>
      <c r="C74" s="9" t="s">
        <v>10</v>
      </c>
      <c r="D74" s="8">
        <f>D57+7</f>
        <v>46013</v>
      </c>
      <c r="E74" s="8">
        <f t="shared" ref="E74:I74" si="51">D74+1</f>
        <v>46014</v>
      </c>
      <c r="F74" s="8">
        <f t="shared" si="51"/>
        <v>46015</v>
      </c>
      <c r="G74" s="8">
        <f t="shared" si="51"/>
        <v>46016</v>
      </c>
      <c r="H74" s="8">
        <f t="shared" si="51"/>
        <v>46017</v>
      </c>
      <c r="I74" s="8">
        <f t="shared" si="51"/>
        <v>46018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0">
        <f t="shared" ref="A75:C75" si="52">A58</f>
        <v>0.375</v>
      </c>
      <c r="B75" s="10" t="str">
        <f t="shared" si="52"/>
        <v>~</v>
      </c>
      <c r="C75" s="10">
        <f t="shared" si="52"/>
        <v>0.4166666667</v>
      </c>
      <c r="D75" s="12"/>
      <c r="E75" s="12"/>
      <c r="F75" s="25" t="s">
        <v>34</v>
      </c>
      <c r="G75" s="25" t="s">
        <v>34</v>
      </c>
      <c r="H75" s="12"/>
      <c r="I75" s="25" t="s">
        <v>34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0">
        <f t="shared" ref="A76:C76" si="53">A59</f>
        <v>0.4166666667</v>
      </c>
      <c r="B76" s="10" t="str">
        <f t="shared" si="53"/>
        <v>~</v>
      </c>
      <c r="C76" s="10">
        <f t="shared" si="53"/>
        <v>0.4583333333</v>
      </c>
      <c r="D76" s="12"/>
      <c r="E76" s="12"/>
      <c r="H76" s="1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0">
        <f t="shared" ref="A77:C77" si="54">A60</f>
        <v>0.4583333333</v>
      </c>
      <c r="B77" s="10" t="str">
        <f t="shared" si="54"/>
        <v>~</v>
      </c>
      <c r="C77" s="10">
        <f t="shared" si="54"/>
        <v>0.5</v>
      </c>
      <c r="D77" s="12"/>
      <c r="E77" s="12"/>
      <c r="H77" s="1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0">
        <f t="shared" ref="A78:C78" si="55">A61</f>
        <v>0.5</v>
      </c>
      <c r="B78" s="10" t="str">
        <f t="shared" si="55"/>
        <v>~</v>
      </c>
      <c r="C78" s="10">
        <f t="shared" si="55"/>
        <v>0.5416666667</v>
      </c>
      <c r="D78" s="12"/>
      <c r="E78" s="12"/>
      <c r="H78" s="1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0">
        <f t="shared" ref="A79:C79" si="56">A62</f>
        <v>0.5416666667</v>
      </c>
      <c r="B79" s="10" t="str">
        <f t="shared" si="56"/>
        <v>~</v>
      </c>
      <c r="C79" s="10">
        <f t="shared" si="56"/>
        <v>0.5833333333</v>
      </c>
      <c r="D79" s="12"/>
      <c r="E79" s="12"/>
      <c r="H79" s="1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0">
        <f t="shared" ref="A80:C80" si="57">A63</f>
        <v>0.5833333333</v>
      </c>
      <c r="B80" s="10" t="str">
        <f t="shared" si="57"/>
        <v>~</v>
      </c>
      <c r="C80" s="10">
        <f t="shared" si="57"/>
        <v>0.625</v>
      </c>
      <c r="D80" s="12"/>
      <c r="E80" s="12"/>
      <c r="H80" s="1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0">
        <f t="shared" ref="A81:C81" si="58">A64</f>
        <v>0.625</v>
      </c>
      <c r="B81" s="10" t="str">
        <f t="shared" si="58"/>
        <v>~</v>
      </c>
      <c r="C81" s="10">
        <f t="shared" si="58"/>
        <v>0.6666666667</v>
      </c>
      <c r="D81" s="12"/>
      <c r="E81" s="12"/>
      <c r="H81" s="1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0">
        <f t="shared" ref="A82:C82" si="59">A65</f>
        <v>0.6666666667</v>
      </c>
      <c r="B82" s="10" t="str">
        <f t="shared" si="59"/>
        <v>~</v>
      </c>
      <c r="C82" s="10">
        <f t="shared" si="59"/>
        <v>0.7083333333</v>
      </c>
      <c r="D82" s="12"/>
      <c r="E82" s="12"/>
      <c r="H82" s="1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0">
        <f t="shared" ref="A83:C83" si="60">A66</f>
        <v>0.7083333333</v>
      </c>
      <c r="B83" s="10" t="str">
        <f t="shared" si="60"/>
        <v>~</v>
      </c>
      <c r="C83" s="10">
        <f t="shared" si="60"/>
        <v>0.75</v>
      </c>
      <c r="D83" s="12"/>
      <c r="E83" s="12"/>
      <c r="H83" s="1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0">
        <f t="shared" ref="A84:C84" si="61">A67</f>
        <v>0.75</v>
      </c>
      <c r="B84" s="10" t="str">
        <f t="shared" si="61"/>
        <v>~</v>
      </c>
      <c r="C84" s="10">
        <f t="shared" si="61"/>
        <v>0.7916666667</v>
      </c>
      <c r="D84" s="12"/>
      <c r="E84" s="12"/>
      <c r="H84" s="1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0">
        <f t="shared" ref="A85:C85" si="62">A68</f>
        <v>0.7916666667</v>
      </c>
      <c r="B85" s="10" t="str">
        <f t="shared" si="62"/>
        <v>~</v>
      </c>
      <c r="C85" s="10">
        <f t="shared" si="62"/>
        <v>0.8333333333</v>
      </c>
      <c r="D85" s="12"/>
      <c r="E85" s="12"/>
      <c r="H85" s="1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0">
        <f t="shared" ref="A86:C86" si="63">A69</f>
        <v>0.8333333333</v>
      </c>
      <c r="B86" s="10" t="str">
        <f t="shared" si="63"/>
        <v>~</v>
      </c>
      <c r="C86" s="10">
        <f t="shared" si="63"/>
        <v>0.875</v>
      </c>
      <c r="D86" s="26" t="s">
        <v>35</v>
      </c>
      <c r="E86" s="15" t="s">
        <v>36</v>
      </c>
      <c r="H86" s="1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0">
        <f t="shared" ref="A87:C87" si="64">A70</f>
        <v>0.875</v>
      </c>
      <c r="B87" s="10" t="str">
        <f t="shared" si="64"/>
        <v>~</v>
      </c>
      <c r="C87" s="10">
        <f t="shared" si="64"/>
        <v>0.9166666667</v>
      </c>
      <c r="D87" s="22"/>
      <c r="E87" s="16"/>
      <c r="H87" s="1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0">
        <f t="shared" ref="A88:C88" si="65">A71</f>
        <v>0.9166666667</v>
      </c>
      <c r="B88" s="10" t="str">
        <f t="shared" si="65"/>
        <v>~</v>
      </c>
      <c r="C88" s="10">
        <f t="shared" si="65"/>
        <v>0.9583333333</v>
      </c>
      <c r="D88" s="17" t="s">
        <v>18</v>
      </c>
      <c r="E88" s="17" t="s">
        <v>18</v>
      </c>
      <c r="H88" s="1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 t="s">
        <v>37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8"/>
      <c r="B90" s="18"/>
      <c r="C90" s="18"/>
      <c r="D90" s="8" t="str">
        <f t="shared" ref="D90:I90" si="66">D73</f>
        <v>월</v>
      </c>
      <c r="E90" s="8" t="str">
        <f t="shared" si="66"/>
        <v>화</v>
      </c>
      <c r="F90" s="8" t="str">
        <f t="shared" si="66"/>
        <v>수</v>
      </c>
      <c r="G90" s="8" t="str">
        <f t="shared" si="66"/>
        <v>목</v>
      </c>
      <c r="H90" s="8" t="str">
        <f t="shared" si="66"/>
        <v>금</v>
      </c>
      <c r="I90" s="8" t="str">
        <f t="shared" si="66"/>
        <v>토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9" t="s">
        <v>9</v>
      </c>
      <c r="B91" s="18"/>
      <c r="C91" s="9" t="s">
        <v>10</v>
      </c>
      <c r="D91" s="8">
        <f>D74+7</f>
        <v>46020</v>
      </c>
      <c r="E91" s="8">
        <f t="shared" ref="E91:I91" si="67">D91+1</f>
        <v>46021</v>
      </c>
      <c r="F91" s="8">
        <f t="shared" si="67"/>
        <v>46022</v>
      </c>
      <c r="G91" s="8">
        <f t="shared" si="67"/>
        <v>46023</v>
      </c>
      <c r="H91" s="8">
        <f t="shared" si="67"/>
        <v>46024</v>
      </c>
      <c r="I91" s="8">
        <f t="shared" si="67"/>
        <v>46025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0">
        <f t="shared" ref="A92:C92" si="68">A75</f>
        <v>0.375</v>
      </c>
      <c r="B92" s="10" t="str">
        <f t="shared" si="68"/>
        <v>~</v>
      </c>
      <c r="C92" s="10">
        <f t="shared" si="68"/>
        <v>0.4166666667</v>
      </c>
      <c r="D92" s="12"/>
      <c r="E92" s="12"/>
      <c r="F92" s="25" t="s">
        <v>34</v>
      </c>
      <c r="G92" s="25" t="s">
        <v>34</v>
      </c>
      <c r="H92" s="12"/>
      <c r="I92" s="13" t="s">
        <v>12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0">
        <f t="shared" ref="A93:C93" si="69">A76</f>
        <v>0.4166666667</v>
      </c>
      <c r="B93" s="10" t="str">
        <f t="shared" si="69"/>
        <v>~</v>
      </c>
      <c r="C93" s="10">
        <f t="shared" si="69"/>
        <v>0.4583333333</v>
      </c>
      <c r="D93" s="12"/>
      <c r="E93" s="12"/>
      <c r="H93" s="1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0">
        <f t="shared" ref="A94:C94" si="70">A77</f>
        <v>0.4583333333</v>
      </c>
      <c r="B94" s="10" t="str">
        <f t="shared" si="70"/>
        <v>~</v>
      </c>
      <c r="C94" s="10">
        <f t="shared" si="70"/>
        <v>0.5</v>
      </c>
      <c r="D94" s="12"/>
      <c r="E94" s="12"/>
      <c r="H94" s="1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0">
        <f t="shared" ref="A95:C95" si="71">A78</f>
        <v>0.5</v>
      </c>
      <c r="B95" s="10" t="str">
        <f t="shared" si="71"/>
        <v>~</v>
      </c>
      <c r="C95" s="10">
        <f t="shared" si="71"/>
        <v>0.5416666667</v>
      </c>
      <c r="D95" s="12"/>
      <c r="E95" s="12"/>
      <c r="H95" s="1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0">
        <f t="shared" ref="A96:C96" si="72">A79</f>
        <v>0.5416666667</v>
      </c>
      <c r="B96" s="10" t="str">
        <f t="shared" si="72"/>
        <v>~</v>
      </c>
      <c r="C96" s="10">
        <f t="shared" si="72"/>
        <v>0.5833333333</v>
      </c>
      <c r="D96" s="12"/>
      <c r="E96" s="12"/>
      <c r="H96" s="12"/>
      <c r="I96" s="14" t="s">
        <v>13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0">
        <f t="shared" ref="A97:C97" si="73">A80</f>
        <v>0.5833333333</v>
      </c>
      <c r="B97" s="10" t="str">
        <f t="shared" si="73"/>
        <v>~</v>
      </c>
      <c r="C97" s="10">
        <f t="shared" si="73"/>
        <v>0.625</v>
      </c>
      <c r="D97" s="12"/>
      <c r="E97" s="12"/>
      <c r="H97" s="12"/>
      <c r="I97" s="13" t="s">
        <v>12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0">
        <f t="shared" ref="A98:C98" si="74">A81</f>
        <v>0.625</v>
      </c>
      <c r="B98" s="10" t="str">
        <f t="shared" si="74"/>
        <v>~</v>
      </c>
      <c r="C98" s="10">
        <f t="shared" si="74"/>
        <v>0.6666666667</v>
      </c>
      <c r="D98" s="12"/>
      <c r="E98" s="12"/>
      <c r="H98" s="1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0">
        <f t="shared" ref="A99:C99" si="75">A82</f>
        <v>0.6666666667</v>
      </c>
      <c r="B99" s="10" t="str">
        <f t="shared" si="75"/>
        <v>~</v>
      </c>
      <c r="C99" s="10">
        <f t="shared" si="75"/>
        <v>0.7083333333</v>
      </c>
      <c r="D99" s="12"/>
      <c r="E99" s="12"/>
      <c r="H99" s="1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0">
        <f t="shared" ref="A100:C100" si="76">A83</f>
        <v>0.7083333333</v>
      </c>
      <c r="B100" s="10" t="str">
        <f t="shared" si="76"/>
        <v>~</v>
      </c>
      <c r="C100" s="10">
        <f t="shared" si="76"/>
        <v>0.75</v>
      </c>
      <c r="D100" s="12"/>
      <c r="E100" s="12"/>
      <c r="H100" s="1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0">
        <f t="shared" ref="A101:C101" si="77">A84</f>
        <v>0.75</v>
      </c>
      <c r="B101" s="10" t="str">
        <f t="shared" si="77"/>
        <v>~</v>
      </c>
      <c r="C101" s="10">
        <f t="shared" si="77"/>
        <v>0.7916666667</v>
      </c>
      <c r="D101" s="12"/>
      <c r="E101" s="12"/>
      <c r="H101" s="12"/>
      <c r="I101" s="1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0">
        <f t="shared" ref="A102:C102" si="78">A85</f>
        <v>0.7916666667</v>
      </c>
      <c r="B102" s="10" t="str">
        <f t="shared" si="78"/>
        <v>~</v>
      </c>
      <c r="C102" s="10">
        <f t="shared" si="78"/>
        <v>0.8333333333</v>
      </c>
      <c r="D102" s="12"/>
      <c r="E102" s="12"/>
      <c r="H102" s="12"/>
      <c r="I102" s="1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0">
        <f t="shared" ref="A103:C103" si="79">A86</f>
        <v>0.8333333333</v>
      </c>
      <c r="B103" s="10" t="str">
        <f t="shared" si="79"/>
        <v>~</v>
      </c>
      <c r="C103" s="10">
        <f t="shared" si="79"/>
        <v>0.875</v>
      </c>
      <c r="D103" s="15" t="s">
        <v>38</v>
      </c>
      <c r="E103" s="15" t="s">
        <v>39</v>
      </c>
      <c r="H103" s="12"/>
      <c r="I103" s="1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0">
        <f t="shared" ref="A104:C104" si="80">A87</f>
        <v>0.875</v>
      </c>
      <c r="B104" s="10" t="str">
        <f t="shared" si="80"/>
        <v>~</v>
      </c>
      <c r="C104" s="10">
        <f t="shared" si="80"/>
        <v>0.9166666667</v>
      </c>
      <c r="D104" s="16"/>
      <c r="E104" s="16"/>
      <c r="H104" s="12"/>
      <c r="I104" s="1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0">
        <f t="shared" ref="A105:C105" si="81">A88</f>
        <v>0.9166666667</v>
      </c>
      <c r="B105" s="10" t="str">
        <f t="shared" si="81"/>
        <v>~</v>
      </c>
      <c r="C105" s="10">
        <f t="shared" si="81"/>
        <v>0.9583333333</v>
      </c>
      <c r="D105" s="17" t="s">
        <v>18</v>
      </c>
      <c r="E105" s="17" t="s">
        <v>18</v>
      </c>
      <c r="H105" s="12"/>
      <c r="I105" s="1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7" t="s">
        <v>40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8"/>
      <c r="B107" s="18"/>
      <c r="C107" s="18"/>
      <c r="D107" s="8" t="str">
        <f t="shared" ref="D107:I107" si="82">D90</f>
        <v>월</v>
      </c>
      <c r="E107" s="8" t="str">
        <f t="shared" si="82"/>
        <v>화</v>
      </c>
      <c r="F107" s="8" t="str">
        <f t="shared" si="82"/>
        <v>수</v>
      </c>
      <c r="G107" s="8" t="str">
        <f t="shared" si="82"/>
        <v>목</v>
      </c>
      <c r="H107" s="8" t="str">
        <f t="shared" si="82"/>
        <v>금</v>
      </c>
      <c r="I107" s="8" t="str">
        <f t="shared" si="82"/>
        <v>토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9" t="s">
        <v>9</v>
      </c>
      <c r="B108" s="18"/>
      <c r="C108" s="9" t="s">
        <v>10</v>
      </c>
      <c r="D108" s="8">
        <f>D91+7</f>
        <v>46027</v>
      </c>
      <c r="E108" s="8">
        <f t="shared" ref="E108:I108" si="83">D108+1</f>
        <v>46028</v>
      </c>
      <c r="F108" s="8">
        <f t="shared" si="83"/>
        <v>46029</v>
      </c>
      <c r="G108" s="8">
        <f t="shared" si="83"/>
        <v>46030</v>
      </c>
      <c r="H108" s="8">
        <f t="shared" si="83"/>
        <v>46031</v>
      </c>
      <c r="I108" s="8">
        <f t="shared" si="83"/>
        <v>46032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0">
        <f t="shared" ref="A109:C109" si="84">A92</f>
        <v>0.375</v>
      </c>
      <c r="B109" s="10" t="str">
        <f t="shared" si="84"/>
        <v>~</v>
      </c>
      <c r="C109" s="10">
        <f t="shared" si="84"/>
        <v>0.4166666667</v>
      </c>
      <c r="D109" s="12"/>
      <c r="E109" s="12"/>
      <c r="F109" s="12"/>
      <c r="G109" s="12"/>
      <c r="H109" s="12"/>
      <c r="I109" s="13" t="s">
        <v>12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0">
        <f t="shared" ref="A110:C110" si="85">A93</f>
        <v>0.4166666667</v>
      </c>
      <c r="B110" s="10" t="str">
        <f t="shared" si="85"/>
        <v>~</v>
      </c>
      <c r="C110" s="10">
        <f t="shared" si="85"/>
        <v>0.4583333333</v>
      </c>
      <c r="D110" s="12"/>
      <c r="E110" s="12"/>
      <c r="F110" s="12"/>
      <c r="G110" s="12"/>
      <c r="H110" s="1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0">
        <f t="shared" ref="A111:C111" si="86">A94</f>
        <v>0.4583333333</v>
      </c>
      <c r="B111" s="10" t="str">
        <f t="shared" si="86"/>
        <v>~</v>
      </c>
      <c r="C111" s="10">
        <f t="shared" si="86"/>
        <v>0.5</v>
      </c>
      <c r="D111" s="12"/>
      <c r="E111" s="12"/>
      <c r="F111" s="12"/>
      <c r="G111" s="12"/>
      <c r="H111" s="1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0">
        <f t="shared" ref="A112:C112" si="87">A95</f>
        <v>0.5</v>
      </c>
      <c r="B112" s="10" t="str">
        <f t="shared" si="87"/>
        <v>~</v>
      </c>
      <c r="C112" s="10">
        <f t="shared" si="87"/>
        <v>0.5416666667</v>
      </c>
      <c r="D112" s="12"/>
      <c r="E112" s="12"/>
      <c r="F112" s="12"/>
      <c r="G112" s="12"/>
      <c r="H112" s="1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0">
        <f t="shared" ref="A113:C113" si="88">A96</f>
        <v>0.5416666667</v>
      </c>
      <c r="B113" s="10" t="str">
        <f t="shared" si="88"/>
        <v>~</v>
      </c>
      <c r="C113" s="10">
        <f t="shared" si="88"/>
        <v>0.5833333333</v>
      </c>
      <c r="D113" s="12"/>
      <c r="E113" s="12"/>
      <c r="F113" s="12"/>
      <c r="G113" s="12"/>
      <c r="H113" s="12"/>
      <c r="I113" s="14" t="s">
        <v>13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0">
        <f t="shared" ref="A114:C114" si="89">A97</f>
        <v>0.5833333333</v>
      </c>
      <c r="B114" s="10" t="str">
        <f t="shared" si="89"/>
        <v>~</v>
      </c>
      <c r="C114" s="10">
        <f t="shared" si="89"/>
        <v>0.625</v>
      </c>
      <c r="D114" s="12"/>
      <c r="E114" s="12"/>
      <c r="F114" s="12"/>
      <c r="G114" s="12"/>
      <c r="H114" s="12"/>
      <c r="I114" s="13" t="s">
        <v>12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0">
        <f t="shared" ref="A115:C115" si="90">A98</f>
        <v>0.625</v>
      </c>
      <c r="B115" s="10" t="str">
        <f t="shared" si="90"/>
        <v>~</v>
      </c>
      <c r="C115" s="10">
        <f t="shared" si="90"/>
        <v>0.6666666667</v>
      </c>
      <c r="D115" s="12"/>
      <c r="E115" s="12"/>
      <c r="F115" s="12"/>
      <c r="G115" s="12"/>
      <c r="H115" s="1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0">
        <f t="shared" ref="A116:C116" si="91">A99</f>
        <v>0.6666666667</v>
      </c>
      <c r="B116" s="10" t="str">
        <f t="shared" si="91"/>
        <v>~</v>
      </c>
      <c r="C116" s="10">
        <f t="shared" si="91"/>
        <v>0.7083333333</v>
      </c>
      <c r="D116" s="12"/>
      <c r="E116" s="12"/>
      <c r="F116" s="12"/>
      <c r="G116" s="12"/>
      <c r="H116" s="1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0">
        <f t="shared" ref="A117:C117" si="92">A100</f>
        <v>0.7083333333</v>
      </c>
      <c r="B117" s="10" t="str">
        <f t="shared" si="92"/>
        <v>~</v>
      </c>
      <c r="C117" s="10">
        <f t="shared" si="92"/>
        <v>0.75</v>
      </c>
      <c r="D117" s="12"/>
      <c r="E117" s="12"/>
      <c r="F117" s="12"/>
      <c r="G117" s="12"/>
      <c r="H117" s="1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0">
        <f t="shared" ref="A118:C118" si="93">A101</f>
        <v>0.75</v>
      </c>
      <c r="B118" s="10" t="str">
        <f t="shared" si="93"/>
        <v>~</v>
      </c>
      <c r="C118" s="10">
        <f t="shared" si="93"/>
        <v>0.7916666667</v>
      </c>
      <c r="D118" s="12"/>
      <c r="E118" s="12"/>
      <c r="F118" s="12"/>
      <c r="G118" s="12"/>
      <c r="H118" s="12"/>
      <c r="I118" s="1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0">
        <f t="shared" ref="A119:C119" si="94">A102</f>
        <v>0.7916666667</v>
      </c>
      <c r="B119" s="10" t="str">
        <f t="shared" si="94"/>
        <v>~</v>
      </c>
      <c r="C119" s="10">
        <f t="shared" si="94"/>
        <v>0.8333333333</v>
      </c>
      <c r="D119" s="12"/>
      <c r="E119" s="12"/>
      <c r="F119" s="12"/>
      <c r="G119" s="12"/>
      <c r="H119" s="12"/>
      <c r="I119" s="1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0">
        <f t="shared" ref="A120:C120" si="95">A103</f>
        <v>0.8333333333</v>
      </c>
      <c r="B120" s="10" t="str">
        <f t="shared" si="95"/>
        <v>~</v>
      </c>
      <c r="C120" s="10">
        <f t="shared" si="95"/>
        <v>0.875</v>
      </c>
      <c r="D120" s="20" t="s">
        <v>41</v>
      </c>
      <c r="E120" s="19" t="s">
        <v>42</v>
      </c>
      <c r="F120" s="19" t="s">
        <v>43</v>
      </c>
      <c r="G120" s="19" t="s">
        <v>44</v>
      </c>
      <c r="H120" s="12"/>
      <c r="I120" s="1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0">
        <f t="shared" ref="A121:C121" si="96">A104</f>
        <v>0.875</v>
      </c>
      <c r="B121" s="10" t="str">
        <f t="shared" si="96"/>
        <v>~</v>
      </c>
      <c r="C121" s="10">
        <f t="shared" si="96"/>
        <v>0.9166666667</v>
      </c>
      <c r="D121" s="16"/>
      <c r="E121" s="16"/>
      <c r="F121" s="16"/>
      <c r="G121" s="16"/>
      <c r="H121" s="12"/>
      <c r="I121" s="1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0">
        <f t="shared" ref="A122:C122" si="97">A105</f>
        <v>0.9166666667</v>
      </c>
      <c r="B122" s="10" t="str">
        <f t="shared" si="97"/>
        <v>~</v>
      </c>
      <c r="C122" s="10">
        <f t="shared" si="97"/>
        <v>0.9583333333</v>
      </c>
      <c r="D122" s="17" t="s">
        <v>18</v>
      </c>
      <c r="E122" s="17" t="s">
        <v>18</v>
      </c>
      <c r="F122" s="17" t="s">
        <v>18</v>
      </c>
      <c r="G122" s="17" t="s">
        <v>18</v>
      </c>
      <c r="H122" s="12"/>
      <c r="I122" s="1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7" t="s">
        <v>45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8"/>
      <c r="B124" s="18"/>
      <c r="C124" s="18"/>
      <c r="D124" s="8" t="str">
        <f t="shared" ref="D124:I124" si="98">D107</f>
        <v>월</v>
      </c>
      <c r="E124" s="8" t="str">
        <f t="shared" si="98"/>
        <v>화</v>
      </c>
      <c r="F124" s="8" t="str">
        <f t="shared" si="98"/>
        <v>수</v>
      </c>
      <c r="G124" s="8" t="str">
        <f t="shared" si="98"/>
        <v>목</v>
      </c>
      <c r="H124" s="8" t="str">
        <f t="shared" si="98"/>
        <v>금</v>
      </c>
      <c r="I124" s="8" t="str">
        <f t="shared" si="98"/>
        <v>토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9" t="s">
        <v>9</v>
      </c>
      <c r="B125" s="18"/>
      <c r="C125" s="9" t="s">
        <v>10</v>
      </c>
      <c r="D125" s="8">
        <f>D108+7</f>
        <v>46034</v>
      </c>
      <c r="E125" s="8">
        <f t="shared" ref="E125:I125" si="99">D125+1</f>
        <v>46035</v>
      </c>
      <c r="F125" s="8">
        <f t="shared" si="99"/>
        <v>46036</v>
      </c>
      <c r="G125" s="8">
        <f t="shared" si="99"/>
        <v>46037</v>
      </c>
      <c r="H125" s="8">
        <f t="shared" si="99"/>
        <v>46038</v>
      </c>
      <c r="I125" s="8">
        <f t="shared" si="99"/>
        <v>46039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0">
        <f t="shared" ref="A126:C126" si="100">A109</f>
        <v>0.375</v>
      </c>
      <c r="B126" s="10" t="str">
        <f t="shared" si="100"/>
        <v>~</v>
      </c>
      <c r="C126" s="10">
        <f t="shared" si="100"/>
        <v>0.4166666667</v>
      </c>
      <c r="D126" s="12"/>
      <c r="E126" s="12"/>
      <c r="F126" s="12"/>
      <c r="G126" s="12"/>
      <c r="H126" s="12"/>
      <c r="I126" s="13" t="s">
        <v>12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0">
        <f t="shared" ref="A127:C127" si="101">A110</f>
        <v>0.4166666667</v>
      </c>
      <c r="B127" s="10" t="str">
        <f t="shared" si="101"/>
        <v>~</v>
      </c>
      <c r="C127" s="10">
        <f t="shared" si="101"/>
        <v>0.4583333333</v>
      </c>
      <c r="D127" s="12"/>
      <c r="E127" s="12"/>
      <c r="F127" s="12"/>
      <c r="G127" s="12"/>
      <c r="H127" s="1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0">
        <f t="shared" ref="A128:C128" si="102">A111</f>
        <v>0.4583333333</v>
      </c>
      <c r="B128" s="10" t="str">
        <f t="shared" si="102"/>
        <v>~</v>
      </c>
      <c r="C128" s="10">
        <f t="shared" si="102"/>
        <v>0.5</v>
      </c>
      <c r="D128" s="12"/>
      <c r="E128" s="12"/>
      <c r="F128" s="12"/>
      <c r="G128" s="12"/>
      <c r="H128" s="1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0">
        <f t="shared" ref="A129:C129" si="103">A112</f>
        <v>0.5</v>
      </c>
      <c r="B129" s="10" t="str">
        <f t="shared" si="103"/>
        <v>~</v>
      </c>
      <c r="C129" s="10">
        <f t="shared" si="103"/>
        <v>0.5416666667</v>
      </c>
      <c r="D129" s="12"/>
      <c r="E129" s="12"/>
      <c r="F129" s="12"/>
      <c r="G129" s="12"/>
      <c r="H129" s="1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0">
        <f t="shared" ref="A130:C130" si="104">A113</f>
        <v>0.5416666667</v>
      </c>
      <c r="B130" s="10" t="str">
        <f t="shared" si="104"/>
        <v>~</v>
      </c>
      <c r="C130" s="10">
        <f t="shared" si="104"/>
        <v>0.5833333333</v>
      </c>
      <c r="D130" s="12"/>
      <c r="E130" s="12"/>
      <c r="F130" s="12"/>
      <c r="G130" s="12"/>
      <c r="H130" s="12"/>
      <c r="I130" s="14" t="s">
        <v>13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0">
        <f t="shared" ref="A131:C131" si="105">A114</f>
        <v>0.5833333333</v>
      </c>
      <c r="B131" s="10" t="str">
        <f t="shared" si="105"/>
        <v>~</v>
      </c>
      <c r="C131" s="10">
        <f t="shared" si="105"/>
        <v>0.625</v>
      </c>
      <c r="D131" s="12"/>
      <c r="E131" s="12"/>
      <c r="F131" s="12"/>
      <c r="G131" s="12"/>
      <c r="H131" s="12"/>
      <c r="I131" s="13" t="s">
        <v>12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0">
        <f t="shared" ref="A132:C132" si="106">A115</f>
        <v>0.625</v>
      </c>
      <c r="B132" s="10" t="str">
        <f t="shared" si="106"/>
        <v>~</v>
      </c>
      <c r="C132" s="10">
        <f t="shared" si="106"/>
        <v>0.6666666667</v>
      </c>
      <c r="D132" s="12"/>
      <c r="E132" s="12"/>
      <c r="F132" s="12"/>
      <c r="G132" s="12"/>
      <c r="H132" s="1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0">
        <f t="shared" ref="A133:C133" si="107">A116</f>
        <v>0.6666666667</v>
      </c>
      <c r="B133" s="10" t="str">
        <f t="shared" si="107"/>
        <v>~</v>
      </c>
      <c r="C133" s="10">
        <f t="shared" si="107"/>
        <v>0.7083333333</v>
      </c>
      <c r="D133" s="12"/>
      <c r="E133" s="12"/>
      <c r="F133" s="12"/>
      <c r="G133" s="12"/>
      <c r="H133" s="1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0">
        <f t="shared" ref="A134:C134" si="108">A117</f>
        <v>0.7083333333</v>
      </c>
      <c r="B134" s="10" t="str">
        <f t="shared" si="108"/>
        <v>~</v>
      </c>
      <c r="C134" s="10">
        <f t="shared" si="108"/>
        <v>0.75</v>
      </c>
      <c r="D134" s="12"/>
      <c r="E134" s="12"/>
      <c r="F134" s="12"/>
      <c r="G134" s="12"/>
      <c r="H134" s="1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0">
        <f t="shared" ref="A135:C135" si="109">A118</f>
        <v>0.75</v>
      </c>
      <c r="B135" s="10" t="str">
        <f t="shared" si="109"/>
        <v>~</v>
      </c>
      <c r="C135" s="10">
        <f t="shared" si="109"/>
        <v>0.7916666667</v>
      </c>
      <c r="D135" s="12"/>
      <c r="E135" s="12"/>
      <c r="F135" s="12"/>
      <c r="G135" s="12"/>
      <c r="H135" s="12"/>
      <c r="I135" s="1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0">
        <f t="shared" ref="A136:C136" si="110">A119</f>
        <v>0.7916666667</v>
      </c>
      <c r="B136" s="10" t="str">
        <f t="shared" si="110"/>
        <v>~</v>
      </c>
      <c r="C136" s="10">
        <f t="shared" si="110"/>
        <v>0.8333333333</v>
      </c>
      <c r="D136" s="12"/>
      <c r="E136" s="12"/>
      <c r="F136" s="12"/>
      <c r="G136" s="12"/>
      <c r="H136" s="12"/>
      <c r="I136" s="1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0">
        <f t="shared" ref="A137:C137" si="111">A120</f>
        <v>0.8333333333</v>
      </c>
      <c r="B137" s="10" t="str">
        <f t="shared" si="111"/>
        <v>~</v>
      </c>
      <c r="C137" s="10">
        <f t="shared" si="111"/>
        <v>0.875</v>
      </c>
      <c r="D137" s="26" t="s">
        <v>46</v>
      </c>
      <c r="E137" s="26" t="s">
        <v>47</v>
      </c>
      <c r="F137" s="20" t="s">
        <v>48</v>
      </c>
      <c r="G137" s="20" t="s">
        <v>49</v>
      </c>
      <c r="H137" s="12"/>
      <c r="I137" s="1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0">
        <f t="shared" ref="A138:C138" si="112">A121</f>
        <v>0.875</v>
      </c>
      <c r="B138" s="10" t="str">
        <f t="shared" si="112"/>
        <v>~</v>
      </c>
      <c r="C138" s="10">
        <f t="shared" si="112"/>
        <v>0.9166666667</v>
      </c>
      <c r="D138" s="22"/>
      <c r="E138" s="22"/>
      <c r="F138" s="16"/>
      <c r="G138" s="16"/>
      <c r="H138" s="12"/>
      <c r="I138" s="1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0">
        <f t="shared" ref="A139:C139" si="113">A122</f>
        <v>0.9166666667</v>
      </c>
      <c r="B139" s="10" t="str">
        <f t="shared" si="113"/>
        <v>~</v>
      </c>
      <c r="C139" s="10">
        <f t="shared" si="113"/>
        <v>0.9583333333</v>
      </c>
      <c r="D139" s="17" t="s">
        <v>18</v>
      </c>
      <c r="E139" s="17" t="s">
        <v>18</v>
      </c>
      <c r="F139" s="17" t="s">
        <v>18</v>
      </c>
      <c r="G139" s="17" t="s">
        <v>18</v>
      </c>
      <c r="H139" s="12"/>
      <c r="I139" s="1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8" t="s">
        <v>50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8"/>
      <c r="B141" s="18"/>
      <c r="C141" s="18"/>
      <c r="D141" s="8" t="str">
        <f t="shared" ref="D141:I141" si="114">D124</f>
        <v>월</v>
      </c>
      <c r="E141" s="8" t="str">
        <f t="shared" si="114"/>
        <v>화</v>
      </c>
      <c r="F141" s="8" t="str">
        <f t="shared" si="114"/>
        <v>수</v>
      </c>
      <c r="G141" s="8" t="str">
        <f t="shared" si="114"/>
        <v>목</v>
      </c>
      <c r="H141" s="8" t="str">
        <f t="shared" si="114"/>
        <v>금</v>
      </c>
      <c r="I141" s="8" t="str">
        <f t="shared" si="114"/>
        <v>토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9" t="s">
        <v>9</v>
      </c>
      <c r="B142" s="18"/>
      <c r="C142" s="9" t="s">
        <v>10</v>
      </c>
      <c r="D142" s="8">
        <f t="shared" ref="D142:I142" si="115">D125+7</f>
        <v>46041</v>
      </c>
      <c r="E142" s="8">
        <f t="shared" si="115"/>
        <v>46042</v>
      </c>
      <c r="F142" s="8">
        <f t="shared" si="115"/>
        <v>46043</v>
      </c>
      <c r="G142" s="8">
        <f t="shared" si="115"/>
        <v>46044</v>
      </c>
      <c r="H142" s="8">
        <f t="shared" si="115"/>
        <v>46045</v>
      </c>
      <c r="I142" s="8">
        <f t="shared" si="115"/>
        <v>46046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0">
        <f t="shared" ref="A143:C143" si="116">A126</f>
        <v>0.375</v>
      </c>
      <c r="B143" s="10" t="str">
        <f t="shared" si="116"/>
        <v>~</v>
      </c>
      <c r="C143" s="10">
        <f t="shared" si="116"/>
        <v>0.4166666667</v>
      </c>
      <c r="D143" s="12"/>
      <c r="E143" s="12"/>
      <c r="F143" s="12"/>
      <c r="G143" s="12"/>
      <c r="H143" s="12"/>
      <c r="I143" s="13" t="s">
        <v>12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0">
        <f t="shared" ref="A144:C144" si="117">A127</f>
        <v>0.4166666667</v>
      </c>
      <c r="B144" s="10" t="str">
        <f t="shared" si="117"/>
        <v>~</v>
      </c>
      <c r="C144" s="10">
        <f t="shared" si="117"/>
        <v>0.4583333333</v>
      </c>
      <c r="D144" s="12"/>
      <c r="E144" s="12"/>
      <c r="F144" s="12"/>
      <c r="G144" s="12"/>
      <c r="H144" s="1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0">
        <f t="shared" ref="A145:C145" si="118">A128</f>
        <v>0.4583333333</v>
      </c>
      <c r="B145" s="10" t="str">
        <f t="shared" si="118"/>
        <v>~</v>
      </c>
      <c r="C145" s="10">
        <f t="shared" si="118"/>
        <v>0.5</v>
      </c>
      <c r="D145" s="12"/>
      <c r="E145" s="12"/>
      <c r="F145" s="12"/>
      <c r="G145" s="12"/>
      <c r="H145" s="1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0">
        <f t="shared" ref="A146:C146" si="119">A129</f>
        <v>0.5</v>
      </c>
      <c r="B146" s="10" t="str">
        <f t="shared" si="119"/>
        <v>~</v>
      </c>
      <c r="C146" s="10">
        <f t="shared" si="119"/>
        <v>0.5416666667</v>
      </c>
      <c r="D146" s="12"/>
      <c r="E146" s="12"/>
      <c r="F146" s="12"/>
      <c r="G146" s="12"/>
      <c r="H146" s="1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0">
        <f t="shared" ref="A147:C147" si="120">A130</f>
        <v>0.5416666667</v>
      </c>
      <c r="B147" s="10" t="str">
        <f t="shared" si="120"/>
        <v>~</v>
      </c>
      <c r="C147" s="10">
        <f t="shared" si="120"/>
        <v>0.5833333333</v>
      </c>
      <c r="D147" s="12"/>
      <c r="E147" s="12"/>
      <c r="F147" s="12"/>
      <c r="G147" s="12"/>
      <c r="H147" s="12"/>
      <c r="I147" s="14" t="s">
        <v>13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0">
        <f t="shared" ref="A148:C148" si="121">A131</f>
        <v>0.5833333333</v>
      </c>
      <c r="B148" s="10" t="str">
        <f t="shared" si="121"/>
        <v>~</v>
      </c>
      <c r="C148" s="10">
        <f t="shared" si="121"/>
        <v>0.625</v>
      </c>
      <c r="D148" s="12"/>
      <c r="E148" s="12"/>
      <c r="F148" s="12"/>
      <c r="G148" s="12"/>
      <c r="H148" s="12"/>
      <c r="I148" s="13" t="s">
        <v>12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0">
        <f t="shared" ref="A149:C149" si="122">A132</f>
        <v>0.625</v>
      </c>
      <c r="B149" s="10" t="str">
        <f t="shared" si="122"/>
        <v>~</v>
      </c>
      <c r="C149" s="10">
        <f t="shared" si="122"/>
        <v>0.6666666667</v>
      </c>
      <c r="D149" s="12"/>
      <c r="E149" s="12"/>
      <c r="F149" s="12"/>
      <c r="G149" s="12"/>
      <c r="H149" s="1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0">
        <f t="shared" ref="A150:C150" si="123">A133</f>
        <v>0.6666666667</v>
      </c>
      <c r="B150" s="10" t="str">
        <f t="shared" si="123"/>
        <v>~</v>
      </c>
      <c r="C150" s="10">
        <f t="shared" si="123"/>
        <v>0.7083333333</v>
      </c>
      <c r="D150" s="12"/>
      <c r="E150" s="12"/>
      <c r="F150" s="12"/>
      <c r="G150" s="12"/>
      <c r="H150" s="1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0">
        <f t="shared" ref="A151:C151" si="124">A134</f>
        <v>0.7083333333</v>
      </c>
      <c r="B151" s="10" t="str">
        <f t="shared" si="124"/>
        <v>~</v>
      </c>
      <c r="C151" s="10">
        <f t="shared" si="124"/>
        <v>0.75</v>
      </c>
      <c r="D151" s="12"/>
      <c r="E151" s="12"/>
      <c r="F151" s="12"/>
      <c r="G151" s="12"/>
      <c r="H151" s="1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0">
        <f t="shared" ref="A152:C152" si="125">A135</f>
        <v>0.75</v>
      </c>
      <c r="B152" s="10" t="str">
        <f t="shared" si="125"/>
        <v>~</v>
      </c>
      <c r="C152" s="10">
        <f t="shared" si="125"/>
        <v>0.7916666667</v>
      </c>
      <c r="D152" s="12"/>
      <c r="E152" s="12"/>
      <c r="F152" s="12"/>
      <c r="G152" s="12"/>
      <c r="H152" s="12"/>
      <c r="I152" s="1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0">
        <f t="shared" ref="A153:C153" si="126">A136</f>
        <v>0.7916666667</v>
      </c>
      <c r="B153" s="10" t="str">
        <f t="shared" si="126"/>
        <v>~</v>
      </c>
      <c r="C153" s="10">
        <f t="shared" si="126"/>
        <v>0.8333333333</v>
      </c>
      <c r="D153" s="12"/>
      <c r="E153" s="12"/>
      <c r="F153" s="12"/>
      <c r="G153" s="12"/>
      <c r="H153" s="12"/>
      <c r="I153" s="1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0">
        <f t="shared" ref="A154:C154" si="127">A137</f>
        <v>0.8333333333</v>
      </c>
      <c r="B154" s="10" t="str">
        <f t="shared" si="127"/>
        <v>~</v>
      </c>
      <c r="C154" s="10">
        <f t="shared" si="127"/>
        <v>0.875</v>
      </c>
      <c r="D154" s="15" t="s">
        <v>51</v>
      </c>
      <c r="E154" s="15" t="s">
        <v>52</v>
      </c>
      <c r="F154" s="15" t="s">
        <v>53</v>
      </c>
      <c r="G154" s="29" t="s">
        <v>54</v>
      </c>
      <c r="H154" s="12"/>
      <c r="I154" s="1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0">
        <f t="shared" ref="A155:C155" si="128">A138</f>
        <v>0.875</v>
      </c>
      <c r="B155" s="10" t="str">
        <f t="shared" si="128"/>
        <v>~</v>
      </c>
      <c r="C155" s="10">
        <f t="shared" si="128"/>
        <v>0.9166666667</v>
      </c>
      <c r="D155" s="16"/>
      <c r="E155" s="16"/>
      <c r="F155" s="16"/>
      <c r="G155" s="22"/>
      <c r="H155" s="12"/>
      <c r="I155" s="1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0">
        <f t="shared" ref="A156:C156" si="129">A139</f>
        <v>0.9166666667</v>
      </c>
      <c r="B156" s="10" t="str">
        <f t="shared" si="129"/>
        <v>~</v>
      </c>
      <c r="C156" s="10">
        <f t="shared" si="129"/>
        <v>0.9583333333</v>
      </c>
      <c r="D156" s="17" t="s">
        <v>18</v>
      </c>
      <c r="E156" s="17" t="s">
        <v>18</v>
      </c>
      <c r="F156" s="17" t="s">
        <v>18</v>
      </c>
      <c r="G156" s="17" t="s">
        <v>18</v>
      </c>
      <c r="H156" s="12"/>
      <c r="I156" s="1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0" t="s">
        <v>55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8"/>
      <c r="B158" s="18"/>
      <c r="C158" s="18"/>
      <c r="D158" s="8" t="str">
        <f t="shared" ref="D158:I158" si="130">D141</f>
        <v>월</v>
      </c>
      <c r="E158" s="8" t="str">
        <f t="shared" si="130"/>
        <v>화</v>
      </c>
      <c r="F158" s="8" t="str">
        <f t="shared" si="130"/>
        <v>수</v>
      </c>
      <c r="G158" s="8" t="str">
        <f t="shared" si="130"/>
        <v>목</v>
      </c>
      <c r="H158" s="8" t="str">
        <f t="shared" si="130"/>
        <v>금</v>
      </c>
      <c r="I158" s="8" t="str">
        <f t="shared" si="130"/>
        <v>토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9" t="s">
        <v>9</v>
      </c>
      <c r="B159" s="18"/>
      <c r="C159" s="9" t="s">
        <v>10</v>
      </c>
      <c r="D159" s="8">
        <f t="shared" ref="D159:I159" si="131">D142+7</f>
        <v>46048</v>
      </c>
      <c r="E159" s="8">
        <f t="shared" si="131"/>
        <v>46049</v>
      </c>
      <c r="F159" s="8">
        <f t="shared" si="131"/>
        <v>46050</v>
      </c>
      <c r="G159" s="8">
        <f t="shared" si="131"/>
        <v>46051</v>
      </c>
      <c r="H159" s="8">
        <f t="shared" si="131"/>
        <v>46052</v>
      </c>
      <c r="I159" s="8">
        <f t="shared" si="131"/>
        <v>46053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0">
        <f t="shared" ref="A160:C160" si="132">A143</f>
        <v>0.375</v>
      </c>
      <c r="B160" s="10" t="str">
        <f t="shared" si="132"/>
        <v>~</v>
      </c>
      <c r="C160" s="10">
        <f t="shared" si="132"/>
        <v>0.4166666667</v>
      </c>
      <c r="D160" s="12"/>
      <c r="E160" s="12"/>
      <c r="F160" s="12"/>
      <c r="G160" s="12"/>
      <c r="H160" s="12"/>
      <c r="I160" s="13" t="s">
        <v>12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0">
        <f t="shared" ref="A161:C161" si="133">A144</f>
        <v>0.4166666667</v>
      </c>
      <c r="B161" s="10" t="str">
        <f t="shared" si="133"/>
        <v>~</v>
      </c>
      <c r="C161" s="10">
        <f t="shared" si="133"/>
        <v>0.4583333333</v>
      </c>
      <c r="D161" s="12"/>
      <c r="E161" s="12"/>
      <c r="F161" s="12"/>
      <c r="G161" s="12"/>
      <c r="H161" s="1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0">
        <f t="shared" ref="A162:C162" si="134">A145</f>
        <v>0.4583333333</v>
      </c>
      <c r="B162" s="10" t="str">
        <f t="shared" si="134"/>
        <v>~</v>
      </c>
      <c r="C162" s="10">
        <f t="shared" si="134"/>
        <v>0.5</v>
      </c>
      <c r="D162" s="12"/>
      <c r="E162" s="12"/>
      <c r="F162" s="12"/>
      <c r="G162" s="12"/>
      <c r="H162" s="1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0">
        <f t="shared" ref="A163:C163" si="135">A146</f>
        <v>0.5</v>
      </c>
      <c r="B163" s="10" t="str">
        <f t="shared" si="135"/>
        <v>~</v>
      </c>
      <c r="C163" s="10">
        <f t="shared" si="135"/>
        <v>0.5416666667</v>
      </c>
      <c r="D163" s="12"/>
      <c r="E163" s="12"/>
      <c r="F163" s="12"/>
      <c r="G163" s="12"/>
      <c r="H163" s="1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0">
        <f t="shared" ref="A164:C164" si="136">A147</f>
        <v>0.5416666667</v>
      </c>
      <c r="B164" s="10" t="str">
        <f t="shared" si="136"/>
        <v>~</v>
      </c>
      <c r="C164" s="10">
        <f t="shared" si="136"/>
        <v>0.5833333333</v>
      </c>
      <c r="D164" s="12"/>
      <c r="E164" s="12"/>
      <c r="F164" s="12"/>
      <c r="G164" s="12"/>
      <c r="H164" s="12"/>
      <c r="I164" s="14" t="s">
        <v>13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0">
        <f t="shared" ref="A165:C165" si="137">A148</f>
        <v>0.5833333333</v>
      </c>
      <c r="B165" s="10" t="str">
        <f t="shared" si="137"/>
        <v>~</v>
      </c>
      <c r="C165" s="10">
        <f t="shared" si="137"/>
        <v>0.625</v>
      </c>
      <c r="D165" s="12"/>
      <c r="E165" s="12"/>
      <c r="F165" s="12"/>
      <c r="G165" s="12"/>
      <c r="H165" s="12"/>
      <c r="I165" s="13" t="s">
        <v>12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0">
        <f t="shared" ref="A166:C166" si="138">A149</f>
        <v>0.625</v>
      </c>
      <c r="B166" s="10" t="str">
        <f t="shared" si="138"/>
        <v>~</v>
      </c>
      <c r="C166" s="10">
        <f t="shared" si="138"/>
        <v>0.6666666667</v>
      </c>
      <c r="D166" s="12"/>
      <c r="E166" s="12"/>
      <c r="F166" s="12"/>
      <c r="G166" s="12"/>
      <c r="H166" s="1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0">
        <f t="shared" ref="A167:C167" si="139">A150</f>
        <v>0.6666666667</v>
      </c>
      <c r="B167" s="10" t="str">
        <f t="shared" si="139"/>
        <v>~</v>
      </c>
      <c r="C167" s="10">
        <f t="shared" si="139"/>
        <v>0.7083333333</v>
      </c>
      <c r="D167" s="12"/>
      <c r="E167" s="12"/>
      <c r="F167" s="12"/>
      <c r="G167" s="12"/>
      <c r="H167" s="1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0">
        <f t="shared" ref="A168:C168" si="140">A151</f>
        <v>0.7083333333</v>
      </c>
      <c r="B168" s="10" t="str">
        <f t="shared" si="140"/>
        <v>~</v>
      </c>
      <c r="C168" s="10">
        <f t="shared" si="140"/>
        <v>0.75</v>
      </c>
      <c r="D168" s="12"/>
      <c r="E168" s="12"/>
      <c r="F168" s="12"/>
      <c r="G168" s="12"/>
      <c r="H168" s="1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0">
        <f t="shared" ref="A169:C169" si="141">A152</f>
        <v>0.75</v>
      </c>
      <c r="B169" s="10" t="str">
        <f t="shared" si="141"/>
        <v>~</v>
      </c>
      <c r="C169" s="10">
        <f t="shared" si="141"/>
        <v>0.7916666667</v>
      </c>
      <c r="D169" s="12"/>
      <c r="E169" s="12"/>
      <c r="F169" s="12"/>
      <c r="G169" s="12"/>
      <c r="H169" s="12"/>
      <c r="I169" s="1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0">
        <f t="shared" ref="A170:C170" si="142">A153</f>
        <v>0.7916666667</v>
      </c>
      <c r="B170" s="10" t="str">
        <f t="shared" si="142"/>
        <v>~</v>
      </c>
      <c r="C170" s="10">
        <f t="shared" si="142"/>
        <v>0.8333333333</v>
      </c>
      <c r="D170" s="12"/>
      <c r="E170" s="12"/>
      <c r="F170" s="12"/>
      <c r="G170" s="12"/>
      <c r="H170" s="12"/>
      <c r="I170" s="1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0">
        <f t="shared" ref="A171:C171" si="143">A154</f>
        <v>0.8333333333</v>
      </c>
      <c r="B171" s="10" t="str">
        <f t="shared" si="143"/>
        <v>~</v>
      </c>
      <c r="C171" s="10">
        <f t="shared" si="143"/>
        <v>0.875</v>
      </c>
      <c r="D171" s="26" t="s">
        <v>56</v>
      </c>
      <c r="E171" s="31" t="s">
        <v>57</v>
      </c>
      <c r="G171" s="32"/>
      <c r="H171" s="12"/>
      <c r="I171" s="1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0">
        <f t="shared" ref="A172:C172" si="144">A155</f>
        <v>0.875</v>
      </c>
      <c r="B172" s="10" t="str">
        <f t="shared" si="144"/>
        <v>~</v>
      </c>
      <c r="C172" s="10">
        <f t="shared" si="144"/>
        <v>0.9166666667</v>
      </c>
      <c r="D172" s="22"/>
      <c r="E172" s="33"/>
      <c r="F172" s="33"/>
      <c r="G172" s="22"/>
      <c r="H172" s="12"/>
      <c r="I172" s="1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0">
        <f t="shared" ref="A173:C173" si="145">A156</f>
        <v>0.9166666667</v>
      </c>
      <c r="B173" s="10" t="str">
        <f t="shared" si="145"/>
        <v>~</v>
      </c>
      <c r="C173" s="10">
        <f t="shared" si="145"/>
        <v>0.9583333333</v>
      </c>
      <c r="D173" s="17" t="s">
        <v>18</v>
      </c>
      <c r="E173" s="17" t="s">
        <v>18</v>
      </c>
      <c r="F173" s="17" t="s">
        <v>18</v>
      </c>
      <c r="G173" s="17" t="s">
        <v>18</v>
      </c>
      <c r="H173" s="12"/>
      <c r="I173" s="1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0" t="s">
        <v>58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8"/>
      <c r="B175" s="18"/>
      <c r="C175" s="18"/>
      <c r="D175" s="8" t="str">
        <f t="shared" ref="D175:I175" si="146">D158</f>
        <v>월</v>
      </c>
      <c r="E175" s="8" t="str">
        <f t="shared" si="146"/>
        <v>화</v>
      </c>
      <c r="F175" s="8" t="str">
        <f t="shared" si="146"/>
        <v>수</v>
      </c>
      <c r="G175" s="8" t="str">
        <f t="shared" si="146"/>
        <v>목</v>
      </c>
      <c r="H175" s="8" t="str">
        <f t="shared" si="146"/>
        <v>금</v>
      </c>
      <c r="I175" s="8" t="str">
        <f t="shared" si="146"/>
        <v>토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9" t="s">
        <v>9</v>
      </c>
      <c r="B176" s="18"/>
      <c r="C176" s="9" t="s">
        <v>10</v>
      </c>
      <c r="D176" s="8">
        <f t="shared" ref="D176:I176" si="147">D159+7</f>
        <v>46055</v>
      </c>
      <c r="E176" s="8">
        <f t="shared" si="147"/>
        <v>46056</v>
      </c>
      <c r="F176" s="8">
        <f t="shared" si="147"/>
        <v>46057</v>
      </c>
      <c r="G176" s="8">
        <f t="shared" si="147"/>
        <v>46058</v>
      </c>
      <c r="H176" s="8">
        <f t="shared" si="147"/>
        <v>46059</v>
      </c>
      <c r="I176" s="8">
        <f t="shared" si="147"/>
        <v>46060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0">
        <f t="shared" ref="A177:C177" si="148">A160</f>
        <v>0.375</v>
      </c>
      <c r="B177" s="10" t="str">
        <f t="shared" si="148"/>
        <v>~</v>
      </c>
      <c r="C177" s="10">
        <f t="shared" si="148"/>
        <v>0.4166666667</v>
      </c>
      <c r="D177" s="12"/>
      <c r="E177" s="12"/>
      <c r="F177" s="12"/>
      <c r="G177" s="12"/>
      <c r="H177" s="12"/>
      <c r="I177" s="13" t="s">
        <v>12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0">
        <f t="shared" ref="A178:C178" si="149">A161</f>
        <v>0.4166666667</v>
      </c>
      <c r="B178" s="10" t="str">
        <f t="shared" si="149"/>
        <v>~</v>
      </c>
      <c r="C178" s="10">
        <f t="shared" si="149"/>
        <v>0.4583333333</v>
      </c>
      <c r="D178" s="12"/>
      <c r="E178" s="12"/>
      <c r="F178" s="12"/>
      <c r="G178" s="12"/>
      <c r="H178" s="1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0">
        <f t="shared" ref="A179:C179" si="150">A162</f>
        <v>0.4583333333</v>
      </c>
      <c r="B179" s="10" t="str">
        <f t="shared" si="150"/>
        <v>~</v>
      </c>
      <c r="C179" s="10">
        <f t="shared" si="150"/>
        <v>0.5</v>
      </c>
      <c r="D179" s="12"/>
      <c r="E179" s="12"/>
      <c r="F179" s="12"/>
      <c r="G179" s="12"/>
      <c r="H179" s="1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0">
        <f t="shared" ref="A180:C180" si="151">A163</f>
        <v>0.5</v>
      </c>
      <c r="B180" s="10" t="str">
        <f t="shared" si="151"/>
        <v>~</v>
      </c>
      <c r="C180" s="10">
        <f t="shared" si="151"/>
        <v>0.5416666667</v>
      </c>
      <c r="D180" s="12"/>
      <c r="E180" s="12"/>
      <c r="F180" s="12"/>
      <c r="G180" s="12"/>
      <c r="H180" s="1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0">
        <f t="shared" ref="A181:C181" si="152">A164</f>
        <v>0.5416666667</v>
      </c>
      <c r="B181" s="10" t="str">
        <f t="shared" si="152"/>
        <v>~</v>
      </c>
      <c r="C181" s="10">
        <f t="shared" si="152"/>
        <v>0.5833333333</v>
      </c>
      <c r="D181" s="12"/>
      <c r="E181" s="12"/>
      <c r="F181" s="12"/>
      <c r="G181" s="12"/>
      <c r="H181" s="12"/>
      <c r="I181" s="14" t="s">
        <v>13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0">
        <f t="shared" ref="A182:C182" si="153">A165</f>
        <v>0.5833333333</v>
      </c>
      <c r="B182" s="10" t="str">
        <f t="shared" si="153"/>
        <v>~</v>
      </c>
      <c r="C182" s="10">
        <f t="shared" si="153"/>
        <v>0.625</v>
      </c>
      <c r="D182" s="12"/>
      <c r="E182" s="12"/>
      <c r="F182" s="12"/>
      <c r="G182" s="12"/>
      <c r="H182" s="12"/>
      <c r="I182" s="13" t="s">
        <v>12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0">
        <f t="shared" ref="A183:C183" si="154">A166</f>
        <v>0.625</v>
      </c>
      <c r="B183" s="10" t="str">
        <f t="shared" si="154"/>
        <v>~</v>
      </c>
      <c r="C183" s="10">
        <f t="shared" si="154"/>
        <v>0.6666666667</v>
      </c>
      <c r="D183" s="12"/>
      <c r="E183" s="12"/>
      <c r="F183" s="12"/>
      <c r="G183" s="12"/>
      <c r="H183" s="1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0">
        <f t="shared" ref="A184:C184" si="155">A167</f>
        <v>0.6666666667</v>
      </c>
      <c r="B184" s="10" t="str">
        <f t="shared" si="155"/>
        <v>~</v>
      </c>
      <c r="C184" s="10">
        <f t="shared" si="155"/>
        <v>0.7083333333</v>
      </c>
      <c r="D184" s="12"/>
      <c r="E184" s="12"/>
      <c r="F184" s="12"/>
      <c r="G184" s="12"/>
      <c r="H184" s="1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0">
        <f t="shared" ref="A185:C185" si="156">A168</f>
        <v>0.7083333333</v>
      </c>
      <c r="B185" s="10" t="str">
        <f t="shared" si="156"/>
        <v>~</v>
      </c>
      <c r="C185" s="10">
        <f t="shared" si="156"/>
        <v>0.75</v>
      </c>
      <c r="D185" s="12"/>
      <c r="E185" s="12"/>
      <c r="F185" s="12"/>
      <c r="G185" s="12"/>
      <c r="H185" s="1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0">
        <f t="shared" ref="A186:C186" si="157">A169</f>
        <v>0.75</v>
      </c>
      <c r="B186" s="10" t="str">
        <f t="shared" si="157"/>
        <v>~</v>
      </c>
      <c r="C186" s="10">
        <f t="shared" si="157"/>
        <v>0.7916666667</v>
      </c>
      <c r="D186" s="12"/>
      <c r="E186" s="12"/>
      <c r="F186" s="12"/>
      <c r="G186" s="12"/>
      <c r="H186" s="12"/>
      <c r="I186" s="1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0">
        <f t="shared" ref="A187:C187" si="158">A170</f>
        <v>0.7916666667</v>
      </c>
      <c r="B187" s="10" t="str">
        <f t="shared" si="158"/>
        <v>~</v>
      </c>
      <c r="C187" s="10">
        <f t="shared" si="158"/>
        <v>0.8333333333</v>
      </c>
      <c r="D187" s="12"/>
      <c r="E187" s="12"/>
      <c r="F187" s="12"/>
      <c r="G187" s="12"/>
      <c r="H187" s="12"/>
      <c r="I187" s="1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0">
        <f t="shared" ref="A188:C188" si="159">A171</f>
        <v>0.8333333333</v>
      </c>
      <c r="B188" s="10" t="str">
        <f t="shared" si="159"/>
        <v>~</v>
      </c>
      <c r="C188" s="10">
        <f t="shared" si="159"/>
        <v>0.875</v>
      </c>
      <c r="D188" s="31" t="s">
        <v>57</v>
      </c>
      <c r="G188" s="32"/>
      <c r="H188" s="12"/>
      <c r="I188" s="1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0">
        <f t="shared" ref="A189:C189" si="160">A172</f>
        <v>0.875</v>
      </c>
      <c r="B189" s="10" t="str">
        <f t="shared" si="160"/>
        <v>~</v>
      </c>
      <c r="C189" s="10">
        <f t="shared" si="160"/>
        <v>0.9166666667</v>
      </c>
      <c r="D189" s="33"/>
      <c r="E189" s="33"/>
      <c r="F189" s="33"/>
      <c r="G189" s="22"/>
      <c r="H189" s="12"/>
      <c r="I189" s="1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0">
        <f t="shared" ref="A190:C190" si="161">A173</f>
        <v>0.9166666667</v>
      </c>
      <c r="B190" s="10" t="str">
        <f t="shared" si="161"/>
        <v>~</v>
      </c>
      <c r="C190" s="10">
        <f t="shared" si="161"/>
        <v>0.9583333333</v>
      </c>
      <c r="D190" s="17" t="s">
        <v>18</v>
      </c>
      <c r="E190" s="17" t="s">
        <v>18</v>
      </c>
      <c r="F190" s="17" t="s">
        <v>18</v>
      </c>
      <c r="G190" s="17" t="s">
        <v>18</v>
      </c>
      <c r="H190" s="12"/>
      <c r="I190" s="1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1">
    <mergeCell ref="I109:I112"/>
    <mergeCell ref="I114:I117"/>
    <mergeCell ref="D120:D121"/>
    <mergeCell ref="E120:E121"/>
    <mergeCell ref="F120:F121"/>
    <mergeCell ref="G120:G121"/>
    <mergeCell ref="A123:I123"/>
    <mergeCell ref="I126:I129"/>
    <mergeCell ref="I131:I134"/>
    <mergeCell ref="D137:D138"/>
    <mergeCell ref="E137:E138"/>
    <mergeCell ref="F137:F138"/>
    <mergeCell ref="G137:G138"/>
    <mergeCell ref="A140:I140"/>
    <mergeCell ref="A4:I4"/>
    <mergeCell ref="I7:I10"/>
    <mergeCell ref="D18:D19"/>
    <mergeCell ref="E18:E19"/>
    <mergeCell ref="F18:F19"/>
    <mergeCell ref="G18:G19"/>
    <mergeCell ref="A21:I21"/>
    <mergeCell ref="I12:I15"/>
    <mergeCell ref="I24:I27"/>
    <mergeCell ref="D35:D36"/>
    <mergeCell ref="E35:E36"/>
    <mergeCell ref="F35:F36"/>
    <mergeCell ref="G35:G36"/>
    <mergeCell ref="A38:I38"/>
    <mergeCell ref="I29:I32"/>
    <mergeCell ref="I41:I44"/>
    <mergeCell ref="D52:D53"/>
    <mergeCell ref="E52:E53"/>
    <mergeCell ref="F52:F53"/>
    <mergeCell ref="G52:G53"/>
    <mergeCell ref="A55:I55"/>
    <mergeCell ref="I46:I49"/>
    <mergeCell ref="I58:I61"/>
    <mergeCell ref="I63:I66"/>
    <mergeCell ref="D69:D70"/>
    <mergeCell ref="E69:E70"/>
    <mergeCell ref="G69:G70"/>
    <mergeCell ref="A72:I72"/>
    <mergeCell ref="F69:F70"/>
    <mergeCell ref="F75:F88"/>
    <mergeCell ref="G75:G88"/>
    <mergeCell ref="I75:I88"/>
    <mergeCell ref="D86:D87"/>
    <mergeCell ref="E86:E87"/>
    <mergeCell ref="A89:I89"/>
    <mergeCell ref="F92:F105"/>
    <mergeCell ref="G92:G105"/>
    <mergeCell ref="I92:I95"/>
    <mergeCell ref="I97:I100"/>
    <mergeCell ref="D103:D104"/>
    <mergeCell ref="E103:E104"/>
    <mergeCell ref="A106:I106"/>
    <mergeCell ref="I160:I163"/>
    <mergeCell ref="I165:I168"/>
    <mergeCell ref="D171:D172"/>
    <mergeCell ref="E171:G172"/>
    <mergeCell ref="A174:I174"/>
    <mergeCell ref="I177:I180"/>
    <mergeCell ref="I182:I185"/>
    <mergeCell ref="D188:G189"/>
    <mergeCell ref="I143:I146"/>
    <mergeCell ref="I148:I151"/>
    <mergeCell ref="D154:D155"/>
    <mergeCell ref="E154:E155"/>
    <mergeCell ref="F154:F155"/>
    <mergeCell ref="G154:G155"/>
    <mergeCell ref="A157:I1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